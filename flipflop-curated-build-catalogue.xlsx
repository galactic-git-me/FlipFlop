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d1dcfd4c2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ff44949c19a47a9"/>
    <x:sheet xmlns:r="http://schemas.openxmlformats.org/officeDocument/2006/relationships" name="Build Catalogue" sheetId="2" r:id="R92f1c355cf964a56"/>
    <x:sheet xmlns:r="http://schemas.openxmlformats.org/officeDocument/2006/relationships" name="Components" sheetId="3" r:id="R4bb08f286f33455a"/>
    <x:sheet xmlns:r="http://schemas.openxmlformats.org/officeDocument/2006/relationships" name="Pricing Assumptions" sheetId="4" r:id="R87273761a83b42ce"/>
    <x:sheet xmlns:r="http://schemas.openxmlformats.org/officeDocument/2006/relationships" name="Sources &amp; Notes" sheetId="5" r:id="Rc78d7687cf294c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£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72554"/>
      </x:patternFill>
    </x:fill>
    <x:fill>
      <x:patternFill patternType="solid">
        <x:fgColor rgb="FFFFF1E5"/>
      </x:patternFill>
    </x:fill>
    <x:fill>
      <x:patternFill patternType="solid">
        <x:fgColor rgb="FF00A6FF"/>
      </x:patternFill>
    </x:fill>
    <x:fill>
      <x:patternFill patternType="solid">
        <x:fgColor rgb="FFFF7A00"/>
      </x:patternFill>
    </x:fill>
    <x:fill>
      <x:patternFill patternType="solid">
        <x:fgColor rgb="FFE8F6FF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e32004b45420c" /><Relationship Type="http://schemas.openxmlformats.org/officeDocument/2006/relationships/theme" Target="/xl/theme/theme1.xml" Id="Rad5e4318c94240bd" /><Relationship Type="http://schemas.openxmlformats.org/officeDocument/2006/relationships/sharedStrings" Target="/xl/sharedStrings.xml" Id="Rca777ac970914e27" /><Relationship Type="http://schemas.openxmlformats.org/officeDocument/2006/relationships/worksheet" Target="/xl/worksheets/sheet1.xml" Id="R4ff44949c19a47a9" /><Relationship Type="http://schemas.openxmlformats.org/officeDocument/2006/relationships/worksheet" Target="/xl/worksheets/sheet2.xml" Id="R92f1c355cf964a56" /><Relationship Type="http://schemas.openxmlformats.org/officeDocument/2006/relationships/worksheet" Target="/xl/worksheets/sheet3.xml" Id="R4bb08f286f33455a" /><Relationship Type="http://schemas.openxmlformats.org/officeDocument/2006/relationships/worksheet" Target="/xl/worksheets/sheet4.xml" Id="R87273761a83b42ce" /><Relationship Type="http://schemas.openxmlformats.org/officeDocument/2006/relationships/worksheet" Target="/xl/worksheets/sheet5.xml" Id="Rc78d7687cf294cef" /></Relationships>
</file>

<file path=xl/tables/table1.xml><?xml version="1.0" encoding="utf-8"?>
<x:table xmlns:x="http://schemas.openxmlformats.org/spreadsheetml/2006/main" id="1" name="BuildCatalogueTable" displayName="BuildCatalogueTable" ref="A3:R27" headerRowCount="1" totalsRowCount="0" totalsRowShown="0">
  <x:tableColumns count="18">
    <x:tableColumn id="1" name="Build ID"/>
    <x:tableColumn id="2" name="Segment"/>
    <x:tableColumn id="3" name="Tier"/>
    <x:tableColumn id="4" name="Build name"/>
    <x:tableColumn id="5" name="Website positioning"/>
    <x:tableColumn id="6" name="Primary customer use"/>
    <x:tableColumn id="7" name="CPU / APU"/>
    <x:tableColumn id="8" name="Motherboard"/>
    <x:tableColumn id="9" name="Memory"/>
    <x:tableColumn id="10" name="Graphics"/>
    <x:tableColumn id="11" name="Primary storage"/>
    <x:tableColumn id="12" name="Case"/>
    <x:tableColumn id="13" name="PSU"/>
    <x:tableColumn id="14" name="Cooler"/>
    <x:tableColumn id="15" name="OS"/>
    <x:tableColumn id="16" name="Est. component cost"/>
    <x:tableColumn id="17" name="Indicative website price"/>
    <x:tableColumn id="18" name="Build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nentsTable" displayName="ComponentsTable" ref="A3:I219" headerRowCount="1" totalsRowCount="0" totalsRowShown="0">
  <x:tableColumns count="9">
    <x:tableColumn id="1" name="Build ID"/>
    <x:tableColumn id="2" name="Build name"/>
    <x:tableColumn id="3" name="Segment"/>
    <x:tableColumn id="4" name="Tier"/>
    <x:tableColumn id="5" name="Component category"/>
    <x:tableColumn id="6" name="Recommended component"/>
    <x:tableColumn id="7" name="Indicative cost (£)"/>
    <x:tableColumn id="8" name="Cost basis"/>
    <x:tableColumn id="9" name="Build-specific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94613a5fa04e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b7b95ebd6840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62" hidden="0" customWidth="1"/>
    <x:col min="4" max="4" width="4" hidden="0" customWidth="1"/>
    <x:col min="5" max="5" width="18" hidden="0" customWidth="1"/>
    <x:col min="6" max="6" width="16" hidden="0" customWidth="1"/>
    <x:col min="7" max="7" width="22" hidden="0" customWidth="1"/>
    <x:col min="8" max="8" width="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flipflop | Curated PC Launch Catalogue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6" t="str">
        <x:v>24 launch-ready concepts across eight customer segments, each with Budget, Mid-range and High-end tiers.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 ht="24" customHeight="1">
      <x:c r="A5" s="12" t="str">
        <x:v>Catalogue coverage</x:v>
      </x:c>
      <x:c r="B5" s="12" t="str">
        <x:v>Count</x:v>
      </x:c>
      <x:c r="C5" s="12" t="str">
        <x:v>Launch decision</x:v>
      </x:c>
      <x:c r="E5" s="12" t="str">
        <x:v>Tier</x:v>
      </x:c>
      <x:c r="F5" s="12" t="str">
        <x:v>Target margin</x:v>
      </x:c>
      <x:c r="G5" s="12" t="str">
        <x:v>Launch / setup allowance</x:v>
      </x:c>
    </x:row>
    <x:row r="6" ht="24" customHeight="1">
      <x:c r="A6" s="15" t="str">
        <x:v>Customer segments</x:v>
      </x:c>
      <x:c r="B6" s="15" t="n">
        <x:v>8</x:v>
      </x:c>
      <x:c r="C6" s="15" t="str">
        <x:v>Cover different motivations rather than merely different price points.</x:v>
      </x:c>
      <x:c r="E6" s="13" t="str">
        <x:f>'Pricing Assumptions'!A4</x:f>
        <x:v>Budget</x:v>
      </x:c>
      <x:c r="F6" s="19" t="n">
        <x:f>'Pricing Assumptions'!B4</x:f>
        <x:v>0.22</x:v>
      </x:c>
      <x:c r="G6" s="20" t="n">
        <x:f>'Pricing Assumptions'!C4</x:f>
        <x:v>80</x:v>
      </x:c>
    </x:row>
    <x:row r="7" ht="24" customHeight="1">
      <x:c r="A7" s="15" t="str">
        <x:v>Curated builds</x:v>
      </x:c>
      <x:c r="B7" s="15" t="n">
        <x:v>24</x:v>
      </x:c>
      <x:c r="C7" s="15" t="str">
        <x:v>One core build per segment and tier; customise only after the customer chooses a lane.</x:v>
      </x:c>
      <x:c r="E7" s="13" t="str">
        <x:f>'Pricing Assumptions'!A5</x:f>
        <x:v>Mid-range</x:v>
      </x:c>
      <x:c r="F7" s="19" t="n">
        <x:f>'Pricing Assumptions'!B5</x:f>
        <x:v>0.25</x:v>
      </x:c>
      <x:c r="G7" s="20" t="n">
        <x:f>'Pricing Assumptions'!C5</x:f>
        <x:v>110</x:v>
      </x:c>
    </x:row>
    <x:row r="8" ht="24" customHeight="1">
      <x:c r="A8" s="15" t="str">
        <x:v>AI Workstations</x:v>
      </x:c>
      <x:c r="B8" s="15" t="n">
        <x:v>3</x:v>
      </x:c>
      <x:c r="C8" s="15" t="str">
        <x:v>Localhost 16 / 32 / 48 creates a clear private-AI upgrade story.</x:v>
      </x:c>
      <x:c r="E8" s="14" t="str">
        <x:f>'Pricing Assumptions'!A6</x:f>
        <x:v>High-end</x:v>
      </x:c>
      <x:c r="F8" s="21" t="n">
        <x:f>'Pricing Assumptions'!B6</x:f>
        <x:v>0.28</x:v>
      </x:c>
      <x:c r="G8" s="22" t="n">
        <x:f>'Pricing Assumptions'!C6</x:f>
        <x:v>175</x:v>
      </x:c>
    </x:row>
    <x:row r="9" ht="24" customHeight="1">
      <x:c r="A9" s="15" t="str">
        <x:v>GPU families</x:v>
      </x:c>
      <x:c r="B9" s="15" t="n">
        <x:v>11</x:v>
      </x:c>
      <x:c r="C9" s="15" t="str">
        <x:v>NVIDIA, AMD and Intel included where they make commercial sense.</x:v>
      </x:c>
    </x:row>
    <x:row r="10" ht="24" customHeight="1">
      <x:c r="A10" s="15" t="str">
        <x:v>Prometheus match</x:v>
      </x:c>
      <x:c r="B10" s="15" t="n">
        <x:v>1</x:v>
      </x:c>
      <x:c r="C10" s="15" t="str">
        <x:v>FF-HPG-02 keeps your most recent build intact except for the GPU uplift.</x:v>
      </x:c>
    </x:row>
    <x:row r="11" ht="24" customHeight="1">
      <x:c r="A11" s="15" t="str">
        <x:v>Compact APU builds</x:v>
      </x:c>
      <x:c r="B11" s="15" t="n">
        <x:v>2</x:v>
      </x:c>
      <x:c r="C11" s="15" t="str">
        <x:v>Ryzen AI 5 340 and Ryzen AI 7 350 are compact/OEM-platform products, not DIY AM5 tower CPUs.</x:v>
      </x:c>
    </x:row>
    <x:row r="12" ht="24" customHeight="1">
      <x:c r="A12" s="15" t="str">
        <x:v>Pricing status</x:v>
      </x:c>
      <x:c r="B12" s="15" t="str">
        <x:v>Indicative</x:v>
      </x:c>
      <x:c r="C12" s="15" t="str">
        <x:v>Refresh component budgets before publishing or quoting.</x:v>
      </x:c>
    </x:row>
    <x:row r="13" ht="24" customHeight="1">
      <x:c r="A13" s="16" t="str">
        <x:v>Recommended launch</x:v>
      </x:c>
      <x:c r="B13" s="16" t="str">
        <x:v>Start with 8</x:v>
      </x:c>
      <x:c r="C13" s="16" t="str">
        <x:v>One build from each segment; use the other tiers as website configuration paths.</x:v>
      </x:c>
    </x:row>
    <x:row r="15">
      <x:c r="A15" s="26" t="str">
        <x:v>Launch note: £ figures are procurement-planning estimates, not quotes. Use them to rank the catalogue and calculate a starting website price; refresh GPU, memory and SSD costs before each public listing.</x:v>
      </x:c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</x:row>
  </x:sheetData>
  <x:mergeCells>
    <x:mergeCell ref="A1:L1"/>
    <x:mergeCell ref="A3:L3"/>
    <x:mergeCell ref="A15:L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23" hidden="0" customWidth="1"/>
    <x:col min="5" max="5" width="34" hidden="0" customWidth="1"/>
    <x:col min="6" max="6" width="36" hidden="0" customWidth="1"/>
    <x:col min="7" max="7" width="26" hidden="0" customWidth="1"/>
    <x:col min="8" max="8" width="29" hidden="0" customWidth="1"/>
    <x:col min="9" max="9" width="25" hidden="0" customWidth="1"/>
    <x:col min="10" max="10" width="33" hidden="0" customWidth="1"/>
    <x:col min="11" max="11" width="27" hidden="0" customWidth="1"/>
    <x:col min="12" max="12" width="26" hidden="0" customWidth="1"/>
    <x:col min="13" max="13" width="27" hidden="0" customWidth="1"/>
    <x:col min="14" max="14" width="26" hidden="0" customWidth="1"/>
    <x:col min="15" max="15" width="21" hidden="0" customWidth="1"/>
    <x:col min="16" max="16" width="18" hidden="0" customWidth="1"/>
    <x:col min="17" max="17" width="20" hidden="0" customWidth="1"/>
    <x:col min="18" max="18" width="48" hidden="0" customWidth="1"/>
  </x:cols>
  <x:sheetData>
    <x:row r="1" ht="28" customHeight="1">
      <x:c r="A1" s="3" t="str">
        <x:v>flipflop | 24 curated builds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3">
      <x:c r="A3" s="12" t="str">
        <x:v>Build ID</x:v>
      </x:c>
      <x:c r="B3" s="12" t="str">
        <x:v>Segment</x:v>
      </x:c>
      <x:c r="C3" s="12" t="str">
        <x:v>Tier</x:v>
      </x:c>
      <x:c r="D3" s="12" t="str">
        <x:v>Build name</x:v>
      </x:c>
      <x:c r="E3" s="12" t="str">
        <x:v>Website positioning</x:v>
      </x:c>
      <x:c r="F3" s="12" t="str">
        <x:v>Primary customer use</x:v>
      </x:c>
      <x:c r="G3" s="12" t="str">
        <x:v>CPU / APU</x:v>
      </x:c>
      <x:c r="H3" s="12" t="str">
        <x:v>Motherboard</x:v>
      </x:c>
      <x:c r="I3" s="12" t="str">
        <x:v>Memory</x:v>
      </x:c>
      <x:c r="J3" s="12" t="str">
        <x:v>Graphics</x:v>
      </x:c>
      <x:c r="K3" s="12" t="str">
        <x:v>Primary storage</x:v>
      </x:c>
      <x:c r="L3" s="12" t="str">
        <x:v>Case</x:v>
      </x:c>
      <x:c r="M3" s="12" t="str">
        <x:v>PSU</x:v>
      </x:c>
      <x:c r="N3" s="12" t="str">
        <x:v>Cooler</x:v>
      </x:c>
      <x:c r="O3" s="12" t="str">
        <x:v>OS</x:v>
      </x:c>
      <x:c r="P3" s="12" t="str">
        <x:v>Est. component cost</x:v>
      </x:c>
      <x:c r="Q3" s="12" t="str">
        <x:v>Indicative website price</x:v>
      </x:c>
      <x:c r="R3" s="12" t="str">
        <x:v>Build note</x:v>
      </x:c>
    </x:row>
    <x:row r="4" ht="56" customHeight="1">
      <x:c r="A4" s="30" t="str">
        <x:v>FF-GVG-01</x:v>
      </x:c>
      <x:c r="B4" s="30" t="str">
        <x:v>Great-value Gaming</x:v>
      </x:c>
      <x:c r="C4" s="30" t="str">
        <x:v>Budget</x:v>
      </x:c>
      <x:c r="D4" s="30" t="str">
        <x:v>Atlas Essential</x:v>
      </x:c>
      <x:c r="E4" s="30" t="str">
        <x:v>1080p performance without cutting corners.</x:v>
      </x:c>
      <x:c r="F4" s="30" t="str">
        <x:v>1080p gaming, esports and first gaming PC</x:v>
      </x:c>
      <x:c r="G4" s="30" t="str">
        <x:v>AMD Ryzen 5 5600</x:v>
      </x:c>
      <x:c r="H4" s="30" t="str">
        <x:v>MSI B550M PRO-VDH WIFI</x:v>
      </x:c>
      <x:c r="I4" s="30" t="str">
        <x:v>32GB (2x16GB) DDR4-3200</x:v>
      </x:c>
      <x:c r="J4" s="30" t="str">
        <x:v>NVIDIA GeForce RTX 5050 8GB</x:v>
      </x:c>
      <x:c r="K4" s="30" t="str">
        <x:v>1TB PCIe 4.0 NVMe SSD</x:v>
      </x:c>
      <x:c r="L4" s="30" t="str">
        <x:v>Montech AIR 100 ARGB</x:v>
      </x:c>
      <x:c r="M4" s="30" t="str">
        <x:v>Corsair CX650 650W 80+ Bronze</x:v>
      </x:c>
      <x:c r="N4" s="30" t="str">
        <x:v>Thermalright Assassin X 120 SE</x:v>
      </x:c>
      <x:c r="O4" s="30" t="str">
        <x:v>Windows 11 Home</x:v>
      </x:c>
      <x:c r="P4" s="31" t="n">
        <x:f>SUMIF('Components'!$A$4:$A$219,A4,'Components'!$G$4:$G$219)</x:f>
        <x:v>695</x:v>
      </x:c>
      <x:c r="Q4" s="31" t="n">
        <x:f>ROUND(P4*(1+VLOOKUP(C4,'Pricing Assumptions'!$A$4:$C$6,2,FALSE))+VLOOKUP(C4,'Pricing Assumptions'!$A$4:$C$6,3,FALSE),-1)</x:f>
        <x:v>930</x:v>
      </x:c>
      <x:c r="R4" s="30" t="str">
        <x:v>Entry GPU; make the value story about 32GB RAM, a quality case and a clean upgrade path.</x:v>
      </x:c>
    </x:row>
    <x:row r="5" ht="56" customHeight="1">
      <x:c r="A5" s="30" t="str">
        <x:v>FF-GVG-02</x:v>
      </x:c>
      <x:c r="B5" s="30" t="str">
        <x:v>Great-value Gaming</x:v>
      </x:c>
      <x:c r="C5" s="30" t="str">
        <x:v>Mid-range</x:v>
      </x:c>
      <x:c r="D5" s="30" t="str">
        <x:v>Atlas Pulse</x:v>
      </x:c>
      <x:c r="E5" s="30" t="str">
        <x:v>High-refresh 1440p, built around real value.</x:v>
      </x:c>
      <x:c r="F5" s="30" t="str">
        <x:v>1440p gaming, streaming and longevity</x:v>
      </x:c>
      <x:c r="G5" s="30" t="str">
        <x:v>AMD Ryzen 5 9600X</x:v>
      </x:c>
      <x:c r="H5" s="30" t="str">
        <x:v>ASRock B850 Steel Legend WiFi</x:v>
      </x:c>
      <x:c r="I5" s="30" t="str">
        <x:v>32GB (2x16GB) DDR5-6000 CL30</x:v>
      </x:c>
      <x:c r="J5" s="30" t="str">
        <x:v>AMD Radeon RX 9060 XT 16GB</x:v>
      </x:c>
      <x:c r="K5" s="30" t="str">
        <x:v>2TB PCIe 4.0 NVMe SSD</x:v>
      </x:c>
      <x:c r="L5" s="30" t="str">
        <x:v>Montech SKY TWO GX</x:v>
      </x:c>
      <x:c r="M5" s="30" t="str">
        <x:v>Corsair RM750e 750W 80+ Gold</x:v>
      </x:c>
      <x:c r="N5" s="30" t="str">
        <x:v>Thermalright Peerless Assassin 120 SE</x:v>
      </x:c>
      <x:c r="O5" s="30" t="str">
        <x:v>Windows 11 Home</x:v>
      </x:c>
      <x:c r="P5" s="31" t="n">
        <x:f>SUMIF('Components'!$A$4:$A$219,A5,'Components'!$G$4:$G$219)</x:f>
        <x:v>1275</x:v>
      </x:c>
      <x:c r="Q5" s="31" t="n">
        <x:f>ROUND(P5*(1+VLOOKUP(C5,'Pricing Assumptions'!$A$4:$C$6,2,FALSE))+VLOOKUP(C5,'Pricing Assumptions'!$A$4:$C$6,3,FALSE),-1)</x:f>
        <x:v>1700</x:v>
      </x:c>
      <x:c r="R5" s="30" t="str">
        <x:v>16GB VRAM makes this the strongest price-to-longevity gaming proposition.</x:v>
      </x:c>
    </x:row>
    <x:row r="6" ht="56" customHeight="1">
      <x:c r="A6" s="30" t="str">
        <x:v>FF-GVG-03</x:v>
      </x:c>
      <x:c r="B6" s="30" t="str">
        <x:v>Great-value Gaming</x:v>
      </x:c>
      <x:c r="C6" s="30" t="str">
        <x:v>High-end</x:v>
      </x:c>
      <x:c r="D6" s="30" t="str">
        <x:v>Atlas Apex</x:v>
      </x:c>
      <x:c r="E6" s="30" t="str">
        <x:v>Premium 1440p and confident 4K value.</x:v>
      </x:c>
      <x:c r="F6" s="30" t="str">
        <x:v>High-refresh 1440p and entry 4K</x:v>
      </x:c>
      <x:c r="G6" s="30" t="str">
        <x:v>AMD Ryzen 7 9800X3D</x:v>
      </x:c>
      <x:c r="H6" s="30" t="str">
        <x:v>ASUS TUF Gaming X870-PLUS WIFI</x:v>
      </x:c>
      <x:c r="I6" s="30" t="str">
        <x:v>32GB (2x16GB) DDR5-6000 CL30</x:v>
      </x:c>
      <x:c r="J6" s="30" t="str">
        <x:v>AMD Radeon RX 9070 16GB</x:v>
      </x:c>
      <x:c r="K6" s="30" t="str">
        <x:v>2TB PCIe 4.0 NVMe SSD</x:v>
      </x:c>
      <x:c r="L6" s="30" t="str">
        <x:v>Lian Li LANCOOL 207</x:v>
      </x:c>
      <x:c r="M6" s="30" t="str">
        <x:v>Corsair RM850e 850W 80+ Gold</x:v>
      </x:c>
      <x:c r="N6" s="30" t="str">
        <x:v>Arctic Liquid Freezer III 240</x:v>
      </x:c>
      <x:c r="O6" s="30" t="str">
        <x:v>Windows 11 Home</x:v>
      </x:c>
      <x:c r="P6" s="31" t="n">
        <x:f>SUMIF('Components'!$A$4:$A$219,A6,'Components'!$G$4:$G$219)</x:f>
        <x:v>1730</x:v>
      </x:c>
      <x:c r="Q6" s="31" t="n">
        <x:f>ROUND(P6*(1+VLOOKUP(C6,'Pricing Assumptions'!$A$4:$C$6,2,FALSE))+VLOOKUP(C6,'Pricing Assumptions'!$A$4:$C$6,3,FALSE),-1)</x:f>
        <x:v>2390</x:v>
      </x:c>
      <x:c r="R6" s="30" t="str">
        <x:v>The sensible enthusiast alternative to ultra-expensive halo GPUs.</x:v>
      </x:c>
    </x:row>
    <x:row r="7" ht="56" customHeight="1">
      <x:c r="A7" s="30" t="str">
        <x:v>FF-HPG-01</x:v>
      </x:c>
      <x:c r="B7" s="30" t="str">
        <x:v>High-performance Gaming</x:v>
      </x:c>
      <x:c r="C7" s="30" t="str">
        <x:v>Budget</x:v>
      </x:c>
      <x:c r="D7" s="30" t="str">
        <x:v>Vortex Start</x:v>
      </x:c>
      <x:c r="E7" s="30" t="str">
        <x:v>Serious frame rates with a productivity-capable CPU.</x:v>
      </x:c>
      <x:c r="F7" s="30" t="str">
        <x:v>1440p gaming, DLSS 4 and creator side-projects</x:v>
      </x:c>
      <x:c r="G7" s="30" t="str">
        <x:v>Intel Core Ultra 5 250K Plus</x:v>
      </x:c>
      <x:c r="H7" s="30" t="str">
        <x:v>MSI Z890 GAMING PLUS WIFI</x:v>
      </x:c>
      <x:c r="I7" s="30" t="str">
        <x:v>32GB (2x16GB) DDR5-6400</x:v>
      </x:c>
      <x:c r="J7" s="30" t="str">
        <x:v>NVIDIA GeForce RTX 5060 Ti 16GB</x:v>
      </x:c>
      <x:c r="K7" s="30" t="str">
        <x:v>1TB PCIe 4.0 NVMe SSD</x:v>
      </x:c>
      <x:c r="L7" s="30" t="str">
        <x:v>NZXT H5 Flow</x:v>
      </x:c>
      <x:c r="M7" s="30" t="str">
        <x:v>Corsair RM750e 750W 80+ Gold</x:v>
      </x:c>
      <x:c r="N7" s="30" t="str">
        <x:v>Thermalright Phantom Spirit 120 SE</x:v>
      </x:c>
      <x:c r="O7" s="30" t="str">
        <x:v>Windows 11 Home</x:v>
      </x:c>
      <x:c r="P7" s="31" t="n">
        <x:f>SUMIF('Components'!$A$4:$A$219,A7,'Components'!$G$4:$G$219)</x:f>
        <x:v>1505</x:v>
      </x:c>
      <x:c r="Q7" s="31" t="n">
        <x:f>ROUND(P7*(1+VLOOKUP(C7,'Pricing Assumptions'!$A$4:$C$6,2,FALSE))+VLOOKUP(C7,'Pricing Assumptions'!$A$4:$C$6,3,FALSE),-1)</x:f>
        <x:v>1920</x:v>
      </x:c>
      <x:c r="R7" s="30" t="str">
        <x:v>NVIDIA 16GB gives a gaming customer a credible route into local AI later.</x:v>
      </x:c>
    </x:row>
    <x:row r="8" ht="56" customHeight="1">
      <x:c r="A8" s="30" t="str">
        <x:v>FF-HPG-02</x:v>
      </x:c>
      <x:c r="B8" s="30" t="str">
        <x:v>High-performance Gaming</x:v>
      </x:c>
      <x:c r="C8" s="30" t="str">
        <x:v>Mid-range</x:v>
      </x:c>
      <x:c r="D8" s="30" t="str">
        <x:v>Prometheus ChromaFlair</x:v>
      </x:c>
      <x:c r="E8" s="30" t="str">
        <x:v>Beautiful machines, built to be admired.</x:v>
      </x:c>
      <x:c r="F8" s="30" t="str">
        <x:v>Premium 1440p/4K gaming and showcase build</x:v>
      </x:c>
      <x:c r="G8" s="30" t="str">
        <x:v>AMD Ryzen 7 7800X3D</x:v>
      </x:c>
      <x:c r="H8" s="30" t="str">
        <x:v>ASUS PRIME X870-P</x:v>
      </x:c>
      <x:c r="I8" s="30" t="str">
        <x:v>32GB (2x16GB) Lexar DDR5-6400 CL38</x:v>
      </x:c>
      <x:c r="J8" s="30" t="str">
        <x:v>AMD Radeon RX 9070 XT 16GB</x:v>
      </x:c>
      <x:c r="K8" s="30" t="str">
        <x:v>1TB PCIe 3.0 NVMe SSD</x:v>
      </x:c>
      <x:c r="L8" s="30" t="str">
        <x:v>APNX Creator C1 ChromaFlair</x:v>
      </x:c>
      <x:c r="M8" s="30" t="str">
        <x:v>Corsair RM750i 750W modular</x:v>
      </x:c>
      <x:c r="N8" s="30" t="str">
        <x:v>Thermalright Aqua Elite 240 V3</x:v>
      </x:c>
      <x:c r="O8" s="30" t="str">
        <x:v>Windows 11 Home</x:v>
      </x:c>
      <x:c r="P8" s="31" t="n">
        <x:f>SUMIF('Components'!$A$4:$A$219,A8,'Components'!$G$4:$G$219)</x:f>
        <x:v>1772</x:v>
      </x:c>
      <x:c r="Q8" s="31" t="n">
        <x:f>ROUND(P8*(1+VLOOKUP(C8,'Pricing Assumptions'!$A$4:$C$6,2,FALSE))+VLOOKUP(C8,'Pricing Assumptions'!$A$4:$C$6,3,FALSE),-1)</x:f>
        <x:v>2330</x:v>
      </x:c>
      <x:c r="R8" s="30" t="str">
        <x:v>Your existing recent build, retained as specified. Only the RTX 3070 is replaced with the RX 9070 XT.</x:v>
      </x:c>
    </x:row>
    <x:row r="9" ht="56" customHeight="1">
      <x:c r="A9" s="30" t="str">
        <x:v>FF-HPG-03</x:v>
      </x:c>
      <x:c r="B9" s="30" t="str">
        <x:v>High-performance Gaming</x:v>
      </x:c>
      <x:c r="C9" s="30" t="str">
        <x:v>High-end</x:v>
      </x:c>
      <x:c r="D9" s="30" t="str">
        <x:v>Vortex Titan</x:v>
      </x:c>
      <x:c r="E9" s="30" t="str">
        <x:v>No-compromise 4K performance.</x:v>
      </x:c>
      <x:c r="F9" s="30" t="str">
        <x:v>4K high-refresh gaming, VR and heavy creation</x:v>
      </x:c>
      <x:c r="G9" s="30" t="str">
        <x:v>AMD Ryzen 7 9850X3D</x:v>
      </x:c>
      <x:c r="H9" s="30" t="str">
        <x:v>ASUS ROG Crosshair X870E Hero</x:v>
      </x:c>
      <x:c r="I9" s="30" t="str">
        <x:v>64GB (2x32GB) DDR5-6000 CL30</x:v>
      </x:c>
      <x:c r="J9" s="30" t="str">
        <x:v>NVIDIA GeForce RTX 5090 32GB</x:v>
      </x:c>
      <x:c r="K9" s="30" t="str">
        <x:v>4TB PCIe 4.0 NVMe SSD</x:v>
      </x:c>
      <x:c r="L9" s="30" t="str">
        <x:v>Fractal Design North XL</x:v>
      </x:c>
      <x:c r="M9" s="30" t="str">
        <x:v>Corsair HX1200i 1200W 80+ Platinum</x:v>
      </x:c>
      <x:c r="N9" s="30" t="str">
        <x:v>Arctic Liquid Freezer III 360</x:v>
      </x:c>
      <x:c r="O9" s="30" t="str">
        <x:v>Windows 11 Pro</x:v>
      </x:c>
      <x:c r="P9" s="31" t="n">
        <x:f>SUMIF('Components'!$A$4:$A$219,A9,'Components'!$G$4:$G$219)</x:f>
        <x:v>5480</x:v>
      </x:c>
      <x:c r="Q9" s="31" t="n">
        <x:f>ROUND(P9*(1+VLOOKUP(C9,'Pricing Assumptions'!$A$4:$C$6,2,FALSE))+VLOOKUP(C9,'Pricing Assumptions'!$A$4:$C$6,3,FALSE),-1)</x:f>
        <x:v>7190</x:v>
      </x:c>
      <x:c r="R9" s="30" t="str">
        <x:v>A halo build: protect margin with concierge setup, extensive benchmarking and premium aftercare.</x:v>
      </x:c>
    </x:row>
    <x:row r="10" ht="56" customHeight="1">
      <x:c r="A10" s="30" t="str">
        <x:v>FF-STU-01</x:v>
      </x:c>
      <x:c r="B10" s="30" t="str">
        <x:v>Student Hybrid</x:v>
      </x:c>
      <x:c r="C10" s="30" t="str">
        <x:v>Budget</x:v>
      </x:c>
      <x:c r="D10" s="30" t="str">
        <x:v>Campus AI Mini</x:v>
      </x:c>
      <x:c r="E10" s="30" t="str">
        <x:v>Small, quiet and genuinely useful every day.</x:v>
      </x:c>
      <x:c r="F10" s="30" t="str">
        <x:v>Study, office, media, coding and NPU-assisted apps</x:v>
      </x:c>
      <x:c r="G10" s="30" t="str">
        <x:v>AMD Ryzen AI 5 340 (integrated)</x:v>
      </x:c>
      <x:c r="H10" s="30" t="str">
        <x:v>OEM compact APU mainboard (included)</x:v>
      </x:c>
      <x:c r="I10" s="30" t="str">
        <x:v>32GB LPDDR5X</x:v>
      </x:c>
      <x:c r="J10" s="30" t="str">
        <x:v>AMD Radeon 840M integrated</x:v>
      </x:c>
      <x:c r="K10" s="30" t="str">
        <x:v>1TB PCIe 4.0 NVMe SSD</x:v>
      </x:c>
      <x:c r="L10" s="30" t="str">
        <x:v>ASUS NUC 14 Pro-style compact chassis</x:v>
      </x:c>
      <x:c r="M10" s="30" t="str">
        <x:v>External 120W power adapter</x:v>
      </x:c>
      <x:c r="N10" s="30" t="str">
        <x:v>Integrated low-noise cooling</x:v>
      </x:c>
      <x:c r="O10" s="30" t="str">
        <x:v>Windows 11 Home</x:v>
      </x:c>
      <x:c r="P10" s="31" t="n">
        <x:f>SUMIF('Components'!$A$4:$A$219,A10,'Components'!$G$4:$G$219)</x:f>
        <x:v>480</x:v>
      </x:c>
      <x:c r="Q10" s="31" t="n">
        <x:f>ROUND(P10*(1+VLOOKUP(C10,'Pricing Assumptions'!$A$4:$C$6,2,FALSE))+VLOOKUP(C10,'Pricing Assumptions'!$A$4:$C$6,3,FALSE),-1)</x:f>
        <x:v>670</x:v>
      </x:c>
      <x:c r="R10" s="30" t="str">
        <x:v>Ryzen AI chips are soldered mobile/compact-platform processors; sell this as a compact PC, not a DIY tower.</x:v>
      </x:c>
    </x:row>
    <x:row r="11" ht="56" customHeight="1">
      <x:c r="A11" s="30" t="str">
        <x:v>FF-STU-02</x:v>
      </x:c>
      <x:c r="B11" s="30" t="str">
        <x:v>Student Hybrid</x:v>
      </x:c>
      <x:c r="C11" s="30" t="str">
        <x:v>Mid-range</x:v>
      </x:c>
      <x:c r="D11" s="30" t="str">
        <x:v>Campus Studio</x:v>
      </x:c>
      <x:c r="E11" s="30" t="str">
        <x:v>Study by day, 1440p play by night.</x:v>
      </x:c>
      <x:c r="F11" s="30" t="str">
        <x:v>University work, coding, media and value gaming</x:v>
      </x:c>
      <x:c r="G11" s="30" t="str">
        <x:v>AMD Ryzen 5 9600X</x:v>
      </x:c>
      <x:c r="H11" s="30" t="str">
        <x:v>MSI B850 GAMING PLUS WIFI</x:v>
      </x:c>
      <x:c r="I11" s="30" t="str">
        <x:v>32GB (2x16GB) DDR5-6000 CL30</x:v>
      </x:c>
      <x:c r="J11" s="30" t="str">
        <x:v>Intel Arc B580 12GB</x:v>
      </x:c>
      <x:c r="K11" s="30" t="str">
        <x:v>2TB PCIe 4.0 NVMe SSD</x:v>
      </x:c>
      <x:c r="L11" s="30" t="str">
        <x:v>Fractal Design Pop Air</x:v>
      </x:c>
      <x:c r="M11" s="30" t="str">
        <x:v>Corsair RM650e 650W 80+ Gold</x:v>
      </x:c>
      <x:c r="N11" s="30" t="str">
        <x:v>Thermalright Assassin X 120 SE</x:v>
      </x:c>
      <x:c r="O11" s="30" t="str">
        <x:v>Windows 11 Home</x:v>
      </x:c>
      <x:c r="P11" s="31" t="n">
        <x:f>SUMIF('Components'!$A$4:$A$219,A11,'Components'!$G$4:$G$219)</x:f>
        <x:v>1025</x:v>
      </x:c>
      <x:c r="Q11" s="31" t="n">
        <x:f>ROUND(P11*(1+VLOOKUP(C11,'Pricing Assumptions'!$A$4:$C$6,2,FALSE))+VLOOKUP(C11,'Pricing Assumptions'!$A$4:$C$6,3,FALSE),-1)</x:f>
        <x:v>1390</x:v>
      </x:c>
      <x:c r="R11" s="30" t="str">
        <x:v>A non-NVIDIA alternative that keeps the total achievable for students.</x:v>
      </x:c>
    </x:row>
    <x:row r="12" ht="56" customHeight="1">
      <x:c r="A12" s="30" t="str">
        <x:v>FF-STU-03</x:v>
      </x:c>
      <x:c r="B12" s="30" t="str">
        <x:v>Student Hybrid</x:v>
      </x:c>
      <x:c r="C12" s="30" t="str">
        <x:v>High-end</x:v>
      </x:c>
      <x:c r="D12" s="30" t="str">
        <x:v>Campus Pro</x:v>
      </x:c>
      <x:c r="E12" s="30" t="str">
        <x:v>For design courses, code and serious downtime.</x:v>
      </x:c>
      <x:c r="F12" s="30" t="str">
        <x:v>Design, engineering coursework, Adobe and 1440p gaming</x:v>
      </x:c>
      <x:c r="G12" s="30" t="str">
        <x:v>Intel Core Ultra 7 270K Plus</x:v>
      </x:c>
      <x:c r="H12" s="30" t="str">
        <x:v>ASUS TUF GAMING Z890-PLUS WIFI</x:v>
      </x:c>
      <x:c r="I12" s="30" t="str">
        <x:v>64GB (2x32GB) DDR5-6400</x:v>
      </x:c>
      <x:c r="J12" s="30" t="str">
        <x:v>NVIDIA GeForce RTX 5070 Ti 16GB</x:v>
      </x:c>
      <x:c r="K12" s="30" t="str">
        <x:v>2TB PCIe 4.0 NVMe SSD</x:v>
      </x:c>
      <x:c r="L12" s="30" t="str">
        <x:v>Lian Li LANCOOL 207</x:v>
      </x:c>
      <x:c r="M12" s="30" t="str">
        <x:v>Corsair RM850e 850W 80+ Gold</x:v>
      </x:c>
      <x:c r="N12" s="30" t="str">
        <x:v>Arctic Liquid Freezer III 240</x:v>
      </x:c>
      <x:c r="O12" s="30" t="str">
        <x:v>Windows 11 Home</x:v>
      </x:c>
      <x:c r="P12" s="31" t="n">
        <x:f>SUMIF('Components'!$A$4:$A$219,A12,'Components'!$G$4:$G$219)</x:f>
        <x:v>2165</x:v>
      </x:c>
      <x:c r="Q12" s="31" t="n">
        <x:f>ROUND(P12*(1+VLOOKUP(C12,'Pricing Assumptions'!$A$4:$C$6,2,FALSE))+VLOOKUP(C12,'Pricing Assumptions'!$A$4:$C$6,3,FALSE),-1)</x:f>
        <x:v>2950</x:v>
      </x:c>
      <x:c r="R12" s="30" t="str">
        <x:v>Position as the 'take me through the whole degree' machine.</x:v>
      </x:c>
    </x:row>
    <x:row r="13" ht="56" customHeight="1">
      <x:c r="A13" s="30" t="str">
        <x:v>FF-BOF-01</x:v>
      </x:c>
      <x:c r="B13" s="30" t="str">
        <x:v>Business &amp; Office</x:v>
      </x:c>
      <x:c r="C13" s="30" t="str">
        <x:v>Budget</x:v>
      </x:c>
      <x:c r="D13" s="30" t="str">
        <x:v>Deskwise Essential</x:v>
      </x:c>
      <x:c r="E13" s="30" t="str">
        <x:v>Fast, tidy and ready for work.</x:v>
      </x:c>
      <x:c r="F13" s="30" t="str">
        <x:v>Office, bookkeeping, browsers and multi-monitor work</x:v>
      </x:c>
      <x:c r="G13" s="30" t="str">
        <x:v>AMD Ryzen 5 5600G</x:v>
      </x:c>
      <x:c r="H13" s="30" t="str">
        <x:v>MSI B550M PRO-VDH WIFI</x:v>
      </x:c>
      <x:c r="I13" s="30" t="str">
        <x:v>32GB (2x16GB) DDR4-3200</x:v>
      </x:c>
      <x:c r="J13" s="30" t="str">
        <x:v>Radeon Vega integrated</x:v>
      </x:c>
      <x:c r="K13" s="30" t="str">
        <x:v>1TB PCIe 4.0 NVMe SSD</x:v>
      </x:c>
      <x:c r="L13" s="30" t="str">
        <x:v>Fractal Design Core 1100</x:v>
      </x:c>
      <x:c r="M13" s="30" t="str">
        <x:v>Corsair CX550 550W 80+ Bronze</x:v>
      </x:c>
      <x:c r="N13" s="30" t="str">
        <x:v>AMD Wraith Stealth</x:v>
      </x:c>
      <x:c r="O13" s="30" t="str">
        <x:v>Windows 11 Pro</x:v>
      </x:c>
      <x:c r="P13" s="31" t="n">
        <x:f>SUMIF('Components'!$A$4:$A$219,A13,'Components'!$G$4:$G$219)</x:f>
        <x:v>415</x:v>
      </x:c>
      <x:c r="Q13" s="31" t="n">
        <x:f>ROUND(P13*(1+VLOOKUP(C13,'Pricing Assumptions'!$A$4:$C$6,2,FALSE))+VLOOKUP(C13,'Pricing Assumptions'!$A$4:$C$6,3,FALSE),-1)</x:f>
        <x:v>590</x:v>
      </x:c>
      <x:c r="R13" s="30" t="str">
        <x:v>Use a simple black, quiet build with 3-year support options.</x:v>
      </x:c>
    </x:row>
    <x:row r="14" ht="56" customHeight="1">
      <x:c r="A14" s="30" t="str">
        <x:v>FF-BOF-02</x:v>
      </x:c>
      <x:c r="B14" s="30" t="str">
        <x:v>Business &amp; Office</x:v>
      </x:c>
      <x:c r="C14" s="30" t="str">
        <x:v>Mid-range</x:v>
      </x:c>
      <x:c r="D14" s="30" t="str">
        <x:v>Deskwise Pro</x:v>
      </x:c>
      <x:c r="E14" s="30" t="str">
        <x:v>A quiet professional desktop with modern AI capability.</x:v>
      </x:c>
      <x:c r="F14" s="30" t="str">
        <x:v>Teams, Excel, operational systems and dual displays</x:v>
      </x:c>
      <x:c r="G14" s="30" t="str">
        <x:v>Intel Core Ultra 5 250K Plus</x:v>
      </x:c>
      <x:c r="H14" s="30" t="str">
        <x:v>ASUS Pro Q870M-C-CSM</x:v>
      </x:c>
      <x:c r="I14" s="30" t="str">
        <x:v>32GB (2x16GB) DDR5-6400</x:v>
      </x:c>
      <x:c r="J14" s="30" t="str">
        <x:v>Intel integrated graphics</x:v>
      </x:c>
      <x:c r="K14" s="30" t="str">
        <x:v>2TB PCIe 4.0 NVMe SSD</x:v>
      </x:c>
      <x:c r="L14" s="30" t="str">
        <x:v>Fractal Design Define 7 Compact</x:v>
      </x:c>
      <x:c r="M14" s="30" t="str">
        <x:v>Corsair RM650e 650W 80+ Gold</x:v>
      </x:c>
      <x:c r="N14" s="30" t="str">
        <x:v>Noctua NH-U12S redux</x:v>
      </x:c>
      <x:c r="O14" s="30" t="str">
        <x:v>Windows 11 Pro</x:v>
      </x:c>
      <x:c r="P14" s="31" t="n">
        <x:f>SUMIF('Components'!$A$4:$A$219,A14,'Components'!$G$4:$G$219)</x:f>
        <x:v>945</x:v>
      </x:c>
      <x:c r="Q14" s="31" t="n">
        <x:f>ROUND(P14*(1+VLOOKUP(C14,'Pricing Assumptions'!$A$4:$C$6,2,FALSE))+VLOOKUP(C14,'Pricing Assumptions'!$A$4:$C$6,3,FALSE),-1)</x:f>
        <x:v>1290</x:v>
      </x:c>
      <x:c r="R14" s="30" t="str">
        <x:v>Emphasise quiet acoustics, 2TB storage and business-ready Windows Pro.</x:v>
      </x:c>
    </x:row>
    <x:row r="15" ht="56" customHeight="1">
      <x:c r="A15" s="30" t="str">
        <x:v>FF-BOF-03</x:v>
      </x:c>
      <x:c r="B15" s="30" t="str">
        <x:v>Business &amp; Office</x:v>
      </x:c>
      <x:c r="C15" s="30" t="str">
        <x:v>High-end</x:v>
      </x:c>
      <x:c r="D15" s="30" t="str">
        <x:v>Deskwise Executive</x:v>
      </x:c>
      <x:c r="E15" s="30" t="str">
        <x:v>Power for demanding local workloads without gaming aesthetics.</x:v>
      </x:c>
      <x:c r="F15" s="30" t="str">
        <x:v>Executive office, local NPU features and travel-friendly workspace</x:v>
      </x:c>
      <x:c r="G15" s="30" t="str">
        <x:v>AMD Ryzen AI 7 350 (integrated)</x:v>
      </x:c>
      <x:c r="H15" s="30" t="str">
        <x:v>OEM compact APU mainboard (included)</x:v>
      </x:c>
      <x:c r="I15" s="30" t="str">
        <x:v>64GB LPDDR5X</x:v>
      </x:c>
      <x:c r="J15" s="30" t="str">
        <x:v>AMD Radeon 860M integrated</x:v>
      </x:c>
      <x:c r="K15" s="30" t="str">
        <x:v>2TB PCIe 4.0 NVMe SSD</x:v>
      </x:c>
      <x:c r="L15" s="30" t="str">
        <x:v>Premium compact aluminium mini-PC chassis</x:v>
      </x:c>
      <x:c r="M15" s="30" t="str">
        <x:v>External 180W power adapter</x:v>
      </x:c>
      <x:c r="N15" s="30" t="str">
        <x:v>Integrated low-noise cooling</x:v>
      </x:c>
      <x:c r="O15" s="30" t="str">
        <x:v>Windows 11 Pro</x:v>
      </x:c>
      <x:c r="P15" s="31" t="n">
        <x:f>SUMIF('Components'!$A$4:$A$219,A15,'Components'!$G$4:$G$219)</x:f>
        <x:v>750</x:v>
      </x:c>
      <x:c r="Q15" s="31" t="n">
        <x:f>ROUND(P15*(1+VLOOKUP(C15,'Pricing Assumptions'!$A$4:$C$6,2,FALSE))+VLOOKUP(C15,'Pricing Assumptions'!$A$4:$C$6,3,FALSE),-1)</x:f>
        <x:v>1140</x:v>
      </x:c>
      <x:c r="R15" s="30" t="str">
        <x:v>This is a compact APU product. Ryzen AI 7 350 is not a socketed AM5 tower CPU.</x:v>
      </x:c>
    </x:row>
    <x:row r="16" ht="56" customHeight="1">
      <x:c r="A16" s="30" t="str">
        <x:v>FF-CCR-01</x:v>
      </x:c>
      <x:c r="B16" s="30" t="str">
        <x:v>Content Creation</x:v>
      </x:c>
      <x:c r="C16" s="30" t="str">
        <x:v>Budget</x:v>
      </x:c>
      <x:c r="D16" s="30" t="str">
        <x:v>Creator Forge</x:v>
      </x:c>
      <x:c r="E16" s="30" t="str">
        <x:v>A practical production desk in one box.</x:v>
      </x:c>
      <x:c r="F16" s="30" t="str">
        <x:v>Photoshop, Premiere, 4K editing and streaming</x:v>
      </x:c>
      <x:c r="G16" s="30" t="str">
        <x:v>Intel Core Ultra 5 250K Plus</x:v>
      </x:c>
      <x:c r="H16" s="30" t="str">
        <x:v>MSI Z890 GAMING PLUS WIFI</x:v>
      </x:c>
      <x:c r="I16" s="30" t="str">
        <x:v>64GB (2x32GB) DDR5-6400</x:v>
      </x:c>
      <x:c r="J16" s="30" t="str">
        <x:v>NVIDIA GeForce RTX 5060 Ti 16GB</x:v>
      </x:c>
      <x:c r="K16" s="30" t="str">
        <x:v>2TB PCIe 4.0 NVMe SSD</x:v>
      </x:c>
      <x:c r="L16" s="30" t="str">
        <x:v>Corsair 3500X</x:v>
      </x:c>
      <x:c r="M16" s="30" t="str">
        <x:v>Corsair RM750e 750W 80+ Gold</x:v>
      </x:c>
      <x:c r="N16" s="30" t="str">
        <x:v>Arctic Liquid Freezer III 240</x:v>
      </x:c>
      <x:c r="O16" s="30" t="str">
        <x:v>Windows 11 Home</x:v>
      </x:c>
      <x:c r="P16" s="31" t="n">
        <x:f>SUMIF('Components'!$A$4:$A$219,A16,'Components'!$G$4:$G$219)</x:f>
        <x:v>1710</x:v>
      </x:c>
      <x:c r="Q16" s="31" t="n">
        <x:f>ROUND(P16*(1+VLOOKUP(C16,'Pricing Assumptions'!$A$4:$C$6,2,FALSE))+VLOOKUP(C16,'Pricing Assumptions'!$A$4:$C$6,3,FALSE),-1)</x:f>
        <x:v>2170</x:v>
      </x:c>
      <x:c r="R16" s="30" t="str">
        <x:v>NVIDIA acceleration and 64GB RAM are more important here than RGB excess.</x:v>
      </x:c>
    </x:row>
    <x:row r="17" ht="56" customHeight="1">
      <x:c r="A17" s="30" t="str">
        <x:v>FF-CCR-02</x:v>
      </x:c>
      <x:c r="B17" s="30" t="str">
        <x:v>Content Creation</x:v>
      </x:c>
      <x:c r="C17" s="30" t="str">
        <x:v>Mid-range</x:v>
      </x:c>
      <x:c r="D17" s="30" t="str">
        <x:v>Creator Signal</x:v>
      </x:c>
      <x:c r="E17" s="30" t="str">
        <x:v>Fast timelines, fast renders, no compromises on storage.</x:v>
      </x:c>
      <x:c r="F17" s="30" t="str">
        <x:v>4K/6K editing, After Effects, Blender and client work</x:v>
      </x:c>
      <x:c r="G17" s="30" t="str">
        <x:v>Intel Core Ultra 7 270K Plus</x:v>
      </x:c>
      <x:c r="H17" s="30" t="str">
        <x:v>ASUS ProArt Z890-CREATOR WIFI</x:v>
      </x:c>
      <x:c r="I17" s="30" t="str">
        <x:v>64GB (2x32GB) DDR5-6400</x:v>
      </x:c>
      <x:c r="J17" s="30" t="str">
        <x:v>NVIDIA GeForce RTX 5080 16GB</x:v>
      </x:c>
      <x:c r="K17" s="30" t="str">
        <x:v>4TB PCIe 4.0 NVMe SSD</x:v>
      </x:c>
      <x:c r="L17" s="30" t="str">
        <x:v>ASUS ProArt PA602</x:v>
      </x:c>
      <x:c r="M17" s="30" t="str">
        <x:v>Corsair RM1000x 1000W 80+ Gold</x:v>
      </x:c>
      <x:c r="N17" s="30" t="str">
        <x:v>Arctic Liquid Freezer III 360</x:v>
      </x:c>
      <x:c r="O17" s="30" t="str">
        <x:v>Windows 11 Pro</x:v>
      </x:c>
      <x:c r="P17" s="31" t="n">
        <x:f>SUMIF('Components'!$A$4:$A$219,A17,'Components'!$G$4:$G$219)</x:f>
        <x:v>3200</x:v>
      </x:c>
      <x:c r="Q17" s="31" t="n">
        <x:f>ROUND(P17*(1+VLOOKUP(C17,'Pricing Assumptions'!$A$4:$C$6,2,FALSE))+VLOOKUP(C17,'Pricing Assumptions'!$A$4:$C$6,3,FALSE),-1)</x:f>
        <x:v>4110</x:v>
      </x:c>
      <x:c r="R17" s="30" t="str">
        <x:v>A genuinely professional creative rig with useful I/O and 4TB working space.</x:v>
      </x:c>
    </x:row>
    <x:row r="18" ht="56" customHeight="1">
      <x:c r="A18" s="30" t="str">
        <x:v>FF-CCR-03</x:v>
      </x:c>
      <x:c r="B18" s="30" t="str">
        <x:v>Content Creation</x:v>
      </x:c>
      <x:c r="C18" s="30" t="str">
        <x:v>High-end</x:v>
      </x:c>
      <x:c r="D18" s="30" t="str">
        <x:v>Creator Nova</x:v>
      </x:c>
      <x:c r="E18" s="30" t="str">
        <x:v>Your own post-production workstation.</x:v>
      </x:c>
      <x:c r="F18" s="30" t="str">
        <x:v>8K editing, 3D, VFX, rendering and AI-assisted production</x:v>
      </x:c>
      <x:c r="G18" s="30" t="str">
        <x:v>AMD Ryzen 9 9950X</x:v>
      </x:c>
      <x:c r="H18" s="30" t="str">
        <x:v>ASUS ProArt X870E-Creator WiFi</x:v>
      </x:c>
      <x:c r="I18" s="30" t="str">
        <x:v>128GB (4x32GB) DDR5-5600</x:v>
      </x:c>
      <x:c r="J18" s="30" t="str">
        <x:v>NVIDIA GeForce RTX 5090 32GB</x:v>
      </x:c>
      <x:c r="K18" s="30" t="str">
        <x:v>4TB PCIe 4.0 NVMe SSD + 4TB project SSD</x:v>
      </x:c>
      <x:c r="L18" s="30" t="str">
        <x:v>Fractal Design Define 7 XL</x:v>
      </x:c>
      <x:c r="M18" s="30" t="str">
        <x:v>Corsair HX1200i 1200W 80+ Platinum</x:v>
      </x:c>
      <x:c r="N18" s="30" t="str">
        <x:v>Arctic Liquid Freezer III 420</x:v>
      </x:c>
      <x:c r="O18" s="30" t="str">
        <x:v>Windows 11 Pro</x:v>
      </x:c>
      <x:c r="P18" s="31" t="n">
        <x:f>SUMIF('Components'!$A$4:$A$219,A18,'Components'!$G$4:$G$219)</x:f>
        <x:v>5675</x:v>
      </x:c>
      <x:c r="Q18" s="31" t="n">
        <x:f>ROUND(P18*(1+VLOOKUP(C18,'Pricing Assumptions'!$A$4:$C$6,2,FALSE))+VLOOKUP(C18,'Pricing Assumptions'!$A$4:$C$6,3,FALSE),-1)</x:f>
        <x:v>7440</x:v>
      </x:c>
      <x:c r="R18" s="30" t="str">
        <x:v>Treat as a made-to-order flagship, with display-calibration and RAID options.</x:v>
      </x:c>
    </x:row>
    <x:row r="19" ht="56" customHeight="1">
      <x:c r="A19" s="30" t="str">
        <x:v>FF-AIW-01</x:v>
      </x:c>
      <x:c r="B19" s="30" t="str">
        <x:v>AI Workstation</x:v>
      </x:c>
      <x:c r="C19" s="30" t="str">
        <x:v>Budget</x:v>
      </x:c>
      <x:c r="D19" s="30" t="str">
        <x:v>Localhost 16</x:v>
      </x:c>
      <x:c r="E19" s="30" t="str">
        <x:v>Your first genuinely useful private AI machine.</x:v>
      </x:c>
      <x:c r="F19" s="30" t="str">
        <x:v>Ollama, coding assistants and small/quantised local LLMs</x:v>
      </x:c>
      <x:c r="G19" s="30" t="str">
        <x:v>AMD Ryzen 5 9600X</x:v>
      </x:c>
      <x:c r="H19" s="30" t="str">
        <x:v>MSI MAG B850 Tomahawk MAX WiFi</x:v>
      </x:c>
      <x:c r="I19" s="30" t="str">
        <x:v>64GB (2x32GB) DDR5-6000 CL30</x:v>
      </x:c>
      <x:c r="J19" s="30" t="str">
        <x:v>NVIDIA GeForce RTX 5060 Ti 16GB</x:v>
      </x:c>
      <x:c r="K19" s="30" t="str">
        <x:v>2TB PCIe 4.0 NVMe SSD</x:v>
      </x:c>
      <x:c r="L19" s="30" t="str">
        <x:v>Fractal Design Meshify 2 Compact</x:v>
      </x:c>
      <x:c r="M19" s="30" t="str">
        <x:v>Corsair RM750e 750W 80+ Gold</x:v>
      </x:c>
      <x:c r="N19" s="30" t="str">
        <x:v>Thermalright Peerless Assassin 120 SE</x:v>
      </x:c>
      <x:c r="O19" s="30" t="str">
        <x:v>Windows 11 Pro + Ubuntu option</x:v>
      </x:c>
      <x:c r="P19" s="31" t="n">
        <x:f>SUMIF('Components'!$A$4:$A$219,A19,'Components'!$G$4:$G$219)</x:f>
        <x:v>1670</x:v>
      </x:c>
      <x:c r="Q19" s="31" t="n">
        <x:f>ROUND(P19*(1+VLOOKUP(C19,'Pricing Assumptions'!$A$4:$C$6,2,FALSE))+VLOOKUP(C19,'Pricing Assumptions'!$A$4:$C$6,3,FALSE),-1)</x:f>
        <x:v>2120</x:v>
      </x:c>
      <x:c r="R19" s="30" t="str">
        <x:v>The entry local-LLM build: 16GB VRAM, 64GB system RAM, NVIDIA CUDA ecosystem.</x:v>
      </x:c>
    </x:row>
    <x:row r="20" ht="56" customHeight="1">
      <x:c r="A20" s="30" t="str">
        <x:v>FF-AIW-02</x:v>
      </x:c>
      <x:c r="B20" s="30" t="str">
        <x:v>AI Workstation</x:v>
      </x:c>
      <x:c r="C20" s="30" t="str">
        <x:v>Mid-range</x:v>
      </x:c>
      <x:c r="D20" s="30" t="str">
        <x:v>Localhost 32</x:v>
      </x:c>
      <x:c r="E20" s="30" t="str">
        <x:v>High-VRAM local AI without workstation-server excess.</x:v>
      </x:c>
      <x:c r="F20" s="30" t="str">
        <x:v>High-VRAM inference, ROCm-compatible workloads and data work</x:v>
      </x:c>
      <x:c r="G20" s="30" t="str">
        <x:v>AMD Ryzen 9 9950X</x:v>
      </x:c>
      <x:c r="H20" s="30" t="str">
        <x:v>ASUS ProArt X870E-Creator WiFi</x:v>
      </x:c>
      <x:c r="I20" s="30" t="str">
        <x:v>128GB (4x32GB) DDR5-5600</x:v>
      </x:c>
      <x:c r="J20" s="30" t="str">
        <x:v>ASRock AMD Radeon AI PRO R9700 Creator 32GB</x:v>
      </x:c>
      <x:c r="K20" s="30" t="str">
        <x:v>4TB PCIe 4.0 NVMe SSD</x:v>
      </x:c>
      <x:c r="L20" s="30" t="str">
        <x:v>Fractal Design Meshify 2 XL</x:v>
      </x:c>
      <x:c r="M20" s="30" t="str">
        <x:v>Corsair RM1000x 1000W 80+ Gold</x:v>
      </x:c>
      <x:c r="N20" s="30" t="str">
        <x:v>Arctic Liquid Freezer III 360</x:v>
      </x:c>
      <x:c r="O20" s="30" t="str">
        <x:v>Ubuntu 24.04 LTS + Windows 11 Pro dual-boot</x:v>
      </x:c>
      <x:c r="P20" s="31" t="n">
        <x:f>SUMIF('Components'!$A$4:$A$219,A20,'Components'!$G$4:$G$219)</x:f>
        <x:v>3190</x:v>
      </x:c>
      <x:c r="Q20" s="31" t="n">
        <x:f>ROUND(P20*(1+VLOOKUP(C20,'Pricing Assumptions'!$A$4:$C$6,2,FALSE))+VLOOKUP(C20,'Pricing Assumptions'!$A$4:$C$6,3,FALSE),-1)</x:f>
        <x:v>4100</x:v>
      </x:c>
      <x:c r="R20" s="30" t="str">
        <x:v>32GB VRAM is the headline. Be explicit that NVIDIA/CUDA software compatibility is broader than AMD/ROCm.</x:v>
      </x:c>
    </x:row>
    <x:row r="21" ht="56" customHeight="1">
      <x:c r="A21" s="30" t="str">
        <x:v>FF-AIW-03</x:v>
      </x:c>
      <x:c r="B21" s="30" t="str">
        <x:v>AI Workstation</x:v>
      </x:c>
      <x:c r="C21" s="30" t="str">
        <x:v>High-end</x:v>
      </x:c>
      <x:c r="D21" s="30" t="str">
        <x:v>Localhost 48</x:v>
      </x:c>
      <x:c r="E21" s="30" t="str">
        <x:v>A serious private AI server for continuous work.</x:v>
      </x:c>
      <x:c r="F21" s="30" t="str">
        <x:v>48GB local models, continuous inference and multi-GPU expansion</x:v>
      </x:c>
      <x:c r="G21" s="30" t="str">
        <x:v>AMD Ryzen Threadripper PRO 7975WX</x:v>
      </x:c>
      <x:c r="H21" s="30" t="str">
        <x:v>ASUS Pro WS WRX90E-SAGE SE</x:v>
      </x:c>
      <x:c r="I21" s="30" t="str">
        <x:v>256GB (8x32GB) DDR5 ECC RDIMM</x:v>
      </x:c>
      <x:c r="J21" s="30" t="str">
        <x:v>NVIDIA RTX 6000 Ada 48GB</x:v>
      </x:c>
      <x:c r="K21" s="30" t="str">
        <x:v>4TB PCIe 4.0 NVMe SSD + 8TB data SSD</x:v>
      </x:c>
      <x:c r="L21" s="30" t="str">
        <x:v>Corsair 9000D Airflow</x:v>
      </x:c>
      <x:c r="M21" s="30" t="str">
        <x:v>Corsair AX1600i 1600W 80+ Titanium</x:v>
      </x:c>
      <x:c r="N21" s="30" t="str">
        <x:v>Noctua NH-U14S TR5-SP6</x:v>
      </x:c>
      <x:c r="O21" s="30" t="str">
        <x:v>Ubuntu 24.04 LTS + Windows 11 Pro</x:v>
      </x:c>
      <x:c r="P21" s="31" t="n">
        <x:f>SUMIF('Components'!$A$4:$A$219,A21,'Components'!$G$4:$G$219)</x:f>
        <x:v>13350</x:v>
      </x:c>
      <x:c r="Q21" s="31" t="n">
        <x:f>ROUND(P21*(1+VLOOKUP(C21,'Pricing Assumptions'!$A$4:$C$6,2,FALSE))+VLOOKUP(C21,'Pricing Assumptions'!$A$4:$C$6,3,FALSE),-1)</x:f>
        <x:v>17260</x:v>
      </x:c>
      <x:c r="R21" s="30" t="str">
        <x:v>Built for workstation stability and future GPU expansion; price as a consultation-led bespoke system.</x:v>
      </x:c>
    </x:row>
    <x:row r="22" ht="56" customHeight="1">
      <x:c r="A22" s="30" t="str">
        <x:v>FF-SWD-01</x:v>
      </x:c>
      <x:c r="B22" s="30" t="str">
        <x:v>Software Development</x:v>
      </x:c>
      <x:c r="C22" s="30" t="str">
        <x:v>Budget</x:v>
      </x:c>
      <x:c r="D22" s="30" t="str">
        <x:v>Codebase</x:v>
      </x:c>
      <x:c r="E22" s="30" t="str">
        <x:v>Fast builds, containers and plenty of RAM.</x:v>
      </x:c>
      <x:c r="F22" s="30" t="str">
        <x:v>VS Code, Docker, local databases and occasional GPU work</x:v>
      </x:c>
      <x:c r="G22" s="30" t="str">
        <x:v>AMD Ryzen 5 9600X</x:v>
      </x:c>
      <x:c r="H22" s="30" t="str">
        <x:v>MSI B850 GAMING PLUS WIFI</x:v>
      </x:c>
      <x:c r="I22" s="30" t="str">
        <x:v>64GB (2x32GB) DDR5-6000 CL30</x:v>
      </x:c>
      <x:c r="J22" s="30" t="str">
        <x:v>Intel Arc B580 12GB</x:v>
      </x:c>
      <x:c r="K22" s="30" t="str">
        <x:v>2TB PCIe 4.0 NVMe SSD</x:v>
      </x:c>
      <x:c r="L22" s="30" t="str">
        <x:v>Fractal Design Pop Air</x:v>
      </x:c>
      <x:c r="M22" s="30" t="str">
        <x:v>Corsair RM650e 650W 80+ Gold</x:v>
      </x:c>
      <x:c r="N22" s="30" t="str">
        <x:v>Thermalright Peerless Assassin 120 SE</x:v>
      </x:c>
      <x:c r="O22" s="30" t="str">
        <x:v>Windows 11 Pro + WSL2</x:v>
      </x:c>
      <x:c r="P22" s="31" t="n">
        <x:f>SUMIF('Components'!$A$4:$A$219,A22,'Components'!$G$4:$G$219)</x:f>
        <x:v>1145</x:v>
      </x:c>
      <x:c r="Q22" s="31" t="n">
        <x:f>ROUND(P22*(1+VLOOKUP(C22,'Pricing Assumptions'!$A$4:$C$6,2,FALSE))+VLOOKUP(C22,'Pricing Assumptions'!$A$4:$C$6,3,FALSE),-1)</x:f>
        <x:v>1480</x:v>
      </x:c>
      <x:c r="R22" s="30" t="str">
        <x:v>Make RAM, fast storage and quiet cooling the value story.</x:v>
      </x:c>
    </x:row>
    <x:row r="23" ht="56" customHeight="1">
      <x:c r="A23" s="30" t="str">
        <x:v>FF-SWD-02</x:v>
      </x:c>
      <x:c r="B23" s="30" t="str">
        <x:v>Software Development</x:v>
      </x:c>
      <x:c r="C23" s="30" t="str">
        <x:v>Mid-range</x:v>
      </x:c>
      <x:c r="D23" s="30" t="str">
        <x:v>Compiler</x:v>
      </x:c>
      <x:c r="E23" s="30" t="str">
        <x:v>A local development lab that still looks sharp.</x:v>
      </x:c>
      <x:c r="F23" s="30" t="str">
        <x:v>Large codebases, containers, local AI assistants and virtual machines</x:v>
      </x:c>
      <x:c r="G23" s="30" t="str">
        <x:v>Intel Core Ultra 7 270K Plus</x:v>
      </x:c>
      <x:c r="H23" s="30" t="str">
        <x:v>ASUS ProArt Z890-CREATOR WIFI</x:v>
      </x:c>
      <x:c r="I23" s="30" t="str">
        <x:v>96GB (2x48GB) DDR5-6400</x:v>
      </x:c>
      <x:c r="J23" s="30" t="str">
        <x:v>NVIDIA GeForce RTX 5060 Ti 16GB</x:v>
      </x:c>
      <x:c r="K23" s="30" t="str">
        <x:v>4TB PCIe 4.0 NVMe SSD</x:v>
      </x:c>
      <x:c r="L23" s="30" t="str">
        <x:v>Fractal Design North</x:v>
      </x:c>
      <x:c r="M23" s="30" t="str">
        <x:v>Corsair RM850e 850W 80+ Gold</x:v>
      </x:c>
      <x:c r="N23" s="30" t="str">
        <x:v>Noctua NH-D15 G2</x:v>
      </x:c>
      <x:c r="O23" s="30" t="str">
        <x:v>Windows 11 Pro + Ubuntu VM</x:v>
      </x:c>
      <x:c r="P23" s="31" t="n">
        <x:f>SUMIF('Components'!$A$4:$A$219,A23,'Components'!$G$4:$G$219)</x:f>
        <x:v>2410</x:v>
      </x:c>
      <x:c r="Q23" s="31" t="n">
        <x:f>ROUND(P23*(1+VLOOKUP(C23,'Pricing Assumptions'!$A$4:$C$6,2,FALSE))+VLOOKUP(C23,'Pricing Assumptions'!$A$4:$C$6,3,FALSE),-1)</x:f>
        <x:v>3120</x:v>
      </x:c>
      <x:c r="R23" s="30" t="str">
        <x:v>Good flagship developer workstation without paying for a 5090.</x:v>
      </x:c>
    </x:row>
    <x:row r="24" ht="56" customHeight="1">
      <x:c r="A24" s="30" t="str">
        <x:v>FF-SWD-03</x:v>
      </x:c>
      <x:c r="B24" s="30" t="str">
        <x:v>Software Development</x:v>
      </x:c>
      <x:c r="C24" s="30" t="str">
        <x:v>High-end</x:v>
      </x:c>
      <x:c r="D24" s="30" t="str">
        <x:v>Shipyard</x:v>
      </x:c>
      <x:c r="E24" s="30" t="str">
        <x:v>Build, test and run locally at scale.</x:v>
      </x:c>
      <x:c r="F24" s="30" t="str">
        <x:v>Compiling, multiple VMs, AI-assisted development and GPU compute</x:v>
      </x:c>
      <x:c r="G24" s="30" t="str">
        <x:v>AMD Ryzen 9 9950X</x:v>
      </x:c>
      <x:c r="H24" s="30" t="str">
        <x:v>ASUS ProArt X870E-Creator WiFi</x:v>
      </x:c>
      <x:c r="I24" s="30" t="str">
        <x:v>128GB (4x32GB) DDR5-5600</x:v>
      </x:c>
      <x:c r="J24" s="30" t="str">
        <x:v>NVIDIA GeForce RTX 5080 16GB</x:v>
      </x:c>
      <x:c r="K24" s="30" t="str">
        <x:v>4TB PCIe 4.0 NVMe SSD + 4TB build-cache SSD</x:v>
      </x:c>
      <x:c r="L24" s="30" t="str">
        <x:v>Fractal Design Define 7 XL</x:v>
      </x:c>
      <x:c r="M24" s="30" t="str">
        <x:v>Corsair RM1000x 1000W 80+ Gold</x:v>
      </x:c>
      <x:c r="N24" s="30" t="str">
        <x:v>Arctic Liquid Freezer III 360</x:v>
      </x:c>
      <x:c r="O24" s="30" t="str">
        <x:v>Windows 11 Pro + Ubuntu 24.04 dual-boot</x:v>
      </x:c>
      <x:c r="P24" s="31" t="n">
        <x:f>SUMIF('Components'!$A$4:$A$219,A24,'Components'!$G$4:$G$219)</x:f>
        <x:v>3610</x:v>
      </x:c>
      <x:c r="Q24" s="31" t="n">
        <x:f>ROUND(P24*(1+VLOOKUP(C24,'Pricing Assumptions'!$A$4:$C$6,2,FALSE))+VLOOKUP(C24,'Pricing Assumptions'!$A$4:$C$6,3,FALSE),-1)</x:f>
        <x:v>4800</x:v>
      </x:c>
      <x:c r="R24" s="30" t="str">
        <x:v>A polished option for an agency, founder or developer who wants no local compromises.</x:v>
      </x:c>
    </x:row>
    <x:row r="25" ht="56" customHeight="1">
      <x:c r="A25" s="30" t="str">
        <x:v>FF-FAM-01</x:v>
      </x:c>
      <x:c r="B25" s="30" t="str">
        <x:v>Family &amp; Home</x:v>
      </x:c>
      <x:c r="C25" s="30" t="str">
        <x:v>Budget</x:v>
      </x:c>
      <x:c r="D25" s="30" t="str">
        <x:v>Hearth</x:v>
      </x:c>
      <x:c r="E25" s="30" t="str">
        <x:v>The reliable household computer.</x:v>
      </x:c>
      <x:c r="F25" s="30" t="str">
        <x:v>Homework, video calls, browsing, photos and light games</x:v>
      </x:c>
      <x:c r="G25" s="30" t="str">
        <x:v>AMD Ryzen 5 5600G</x:v>
      </x:c>
      <x:c r="H25" s="30" t="str">
        <x:v>MSI B550M PRO-VDH WIFI</x:v>
      </x:c>
      <x:c r="I25" s="30" t="str">
        <x:v>32GB (2x16GB) DDR4-3200</x:v>
      </x:c>
      <x:c r="J25" s="30" t="str">
        <x:v>Radeon Vega integrated</x:v>
      </x:c>
      <x:c r="K25" s="30" t="str">
        <x:v>1TB PCIe 4.0 NVMe SSD</x:v>
      </x:c>
      <x:c r="L25" s="30" t="str">
        <x:v>Fractal Design Core 1100</x:v>
      </x:c>
      <x:c r="M25" s="30" t="str">
        <x:v>Corsair CX550 550W 80+ Bronze</x:v>
      </x:c>
      <x:c r="N25" s="30" t="str">
        <x:v>AMD Wraith Stealth</x:v>
      </x:c>
      <x:c r="O25" s="30" t="str">
        <x:v>Windows 11 Home</x:v>
      </x:c>
      <x:c r="P25" s="31" t="n">
        <x:f>SUMIF('Components'!$A$4:$A$219,A25,'Components'!$G$4:$G$219)</x:f>
        <x:v>415</x:v>
      </x:c>
      <x:c r="Q25" s="31" t="n">
        <x:f>ROUND(P25*(1+VLOOKUP(C25,'Pricing Assumptions'!$A$4:$C$6,2,FALSE))+VLOOKUP(C25,'Pricing Assumptions'!$A$4:$C$6,3,FALSE),-1)</x:f>
        <x:v>590</x:v>
      </x:c>
      <x:c r="R25" s="30" t="str">
        <x:v>Keep the first family offering refreshingly simple and quiet.</x:v>
      </x:c>
    </x:row>
    <x:row r="26" ht="56" customHeight="1">
      <x:c r="A26" s="30" t="str">
        <x:v>FF-FAM-02</x:v>
      </x:c>
      <x:c r="B26" s="30" t="str">
        <x:v>Family &amp; Home</x:v>
      </x:c>
      <x:c r="C26" s="30" t="str">
        <x:v>Mid-range</x:v>
      </x:c>
      <x:c r="D26" s="30" t="str">
        <x:v>Haven</x:v>
      </x:c>
      <x:c r="E26" s="30" t="str">
        <x:v>The home computer that also plays properly.</x:v>
      </x:c>
      <x:c r="F26" s="30" t="str">
        <x:v>Family media, school work, photo storage and 1440p gaming</x:v>
      </x:c>
      <x:c r="G26" s="30" t="str">
        <x:v>AMD Ryzen 5 9600X</x:v>
      </x:c>
      <x:c r="H26" s="30" t="str">
        <x:v>ASRock B850 Steel Legend WiFi</x:v>
      </x:c>
      <x:c r="I26" s="30" t="str">
        <x:v>32GB (2x16GB) DDR5-6000 CL30</x:v>
      </x:c>
      <x:c r="J26" s="30" t="str">
        <x:v>AMD Radeon RX 9060 XT 16GB</x:v>
      </x:c>
      <x:c r="K26" s="30" t="str">
        <x:v>2TB PCIe 4.0 NVMe SSD</x:v>
      </x:c>
      <x:c r="L26" s="30" t="str">
        <x:v>Montech AIR 100 ARGB</x:v>
      </x:c>
      <x:c r="M26" s="30" t="str">
        <x:v>Corsair RM650e 650W 80+ Gold</x:v>
      </x:c>
      <x:c r="N26" s="30" t="str">
        <x:v>Thermalright Assassin X 120 SE</x:v>
      </x:c>
      <x:c r="O26" s="30" t="str">
        <x:v>Windows 11 Home</x:v>
      </x:c>
      <x:c r="P26" s="31" t="n">
        <x:f>SUMIF('Components'!$A$4:$A$219,A26,'Components'!$G$4:$G$219)</x:f>
        <x:v>1220</x:v>
      </x:c>
      <x:c r="Q26" s="31" t="n">
        <x:f>ROUND(P26*(1+VLOOKUP(C26,'Pricing Assumptions'!$A$4:$C$6,2,FALSE))+VLOOKUP(C26,'Pricing Assumptions'!$A$4:$C$6,3,FALSE),-1)</x:f>
        <x:v>1640</x:v>
      </x:c>
      <x:c r="R26" s="30" t="str">
        <x:v>A sensible all-rounder with enough graphics power to stop it feeling outdated.</x:v>
      </x:c>
    </x:row>
    <x:row r="27" ht="56" customHeight="1">
      <x:c r="A27" s="32" t="str">
        <x:v>FF-FAM-03</x:v>
      </x:c>
      <x:c r="B27" s="32" t="str">
        <x:v>Family &amp; Home</x:v>
      </x:c>
      <x:c r="C27" s="32" t="str">
        <x:v>High-end</x:v>
      </x:c>
      <x:c r="D27" s="32" t="str">
        <x:v>Horizon</x:v>
      </x:c>
      <x:c r="E27" s="32" t="str">
        <x:v>A beautiful shared home hub with proper power.</x:v>
      </x:c>
      <x:c r="F27" s="32" t="str">
        <x:v>Family photo/video hub, 4K media, home office and gaming</x:v>
      </x:c>
      <x:c r="G27" s="32" t="str">
        <x:v>AMD Ryzen 7 9700X</x:v>
      </x:c>
      <x:c r="H27" s="32" t="str">
        <x:v>ASUS TUF Gaming X870-PLUS WIFI</x:v>
      </x:c>
      <x:c r="I27" s="32" t="str">
        <x:v>64GB (2x32GB) DDR5-6000 CL30</x:v>
      </x:c>
      <x:c r="J27" s="32" t="str">
        <x:v>AMD Radeon RX 9070 16GB</x:v>
      </x:c>
      <x:c r="K27" s="32" t="str">
        <x:v>4TB PCIe 4.0 NVMe SSD</x:v>
      </x:c>
      <x:c r="L27" s="32" t="str">
        <x:v>APNX Creator C1 ChromaFlair</x:v>
      </x:c>
      <x:c r="M27" s="32" t="str">
        <x:v>Corsair RM850e 850W 80+ Gold</x:v>
      </x:c>
      <x:c r="N27" s="32" t="str">
        <x:v>Thermalright Aqua Elite 240 V3</x:v>
      </x:c>
      <x:c r="O27" s="32" t="str">
        <x:v>Windows 11 Home</x:v>
      </x:c>
      <x:c r="P27" s="33" t="n">
        <x:f>SUMIF('Components'!$A$4:$A$219,A27,'Components'!$G$4:$G$219)</x:f>
        <x:v>1875</x:v>
      </x:c>
      <x:c r="Q27" s="33" t="n">
        <x:f>ROUND(P27*(1+VLOOKUP(C27,'Pricing Assumptions'!$A$4:$C$6,2,FALSE))+VLOOKUP(C27,'Pricing Assumptions'!$A$4:$C$6,3,FALSE),-1)</x:f>
        <x:v>2580</x:v>
      </x:c>
      <x:c r="R27" s="32" t="str">
        <x:v>Reuse the APNX visual language in a broadly accessible premium build.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bf94613a5fa04e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2" hidden="0" customWidth="1"/>
    <x:col min="5" max="5" width="22" hidden="0" customWidth="1"/>
    <x:col min="6" max="6" width="38" hidden="0" customWidth="1"/>
    <x:col min="7" max="7" width="16" hidden="0" customWidth="1"/>
    <x:col min="8" max="8" width="26" hidden="0" customWidth="1"/>
    <x:col min="9" max="9" width="52" hidden="0" customWidth="1"/>
  </x:cols>
  <x:sheetData>
    <x:row r="1" ht="28" customHeight="1">
      <x:c r="A1" s="3" t="str">
        <x:v>flipflop | Component-level build architecture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38" t="str">
        <x:v>Build ID</x:v>
      </x:c>
      <x:c r="B3" s="38" t="str">
        <x:v>Build name</x:v>
      </x:c>
      <x:c r="C3" s="38" t="str">
        <x:v>Segment</x:v>
      </x:c>
      <x:c r="D3" s="38" t="str">
        <x:v>Tier</x:v>
      </x:c>
      <x:c r="E3" s="38" t="str">
        <x:v>Component category</x:v>
      </x:c>
      <x:c r="F3" s="38" t="str">
        <x:v>Recommended component</x:v>
      </x:c>
      <x:c r="G3" s="38" t="str">
        <x:v>Indicative cost (£)</x:v>
      </x:c>
      <x:c r="H3" s="38" t="str">
        <x:v>Cost basis</x:v>
      </x:c>
      <x:c r="I3" s="38" t="str">
        <x:v>Build-specific note</x:v>
      </x:c>
    </x:row>
    <x:row r="4" ht="34" customHeight="1">
      <x:c r="A4" s="30" t="str">
        <x:v>FF-GVG-01</x:v>
      </x:c>
      <x:c r="B4" s="30" t="str">
        <x:v>Atlas Essential</x:v>
      </x:c>
      <x:c r="C4" s="30" t="str">
        <x:v>Great-value Gaming</x:v>
      </x:c>
      <x:c r="D4" s="30" t="str">
        <x:v>Budget</x:v>
      </x:c>
      <x:c r="E4" s="30" t="str">
        <x:v>CPU / APU</x:v>
      </x:c>
      <x:c r="F4" s="30" t="str">
        <x:v>AMD Ryzen 5 5600</x:v>
      </x:c>
      <x:c r="G4" s="31" t="n">
        <x:v>85</x:v>
      </x:c>
      <x:c r="H4" s="30" t="str">
        <x:v>Indicative UK procurement budget</x:v>
      </x:c>
      <x:c r="I4" s="30" t="str">
        <x:v>Entry GPU; make the value story about 32GB RAM, a quality case and a clean upgrade path.</x:v>
      </x:c>
    </x:row>
    <x:row r="5" ht="34" customHeight="1">
      <x:c r="A5" s="30" t="str">
        <x:v>FF-GVG-01</x:v>
      </x:c>
      <x:c r="B5" s="30" t="str">
        <x:v>Atlas Essential</x:v>
      </x:c>
      <x:c r="C5" s="30" t="str">
        <x:v>Great-value Gaming</x:v>
      </x:c>
      <x:c r="D5" s="30" t="str">
        <x:v>Budget</x:v>
      </x:c>
      <x:c r="E5" s="30" t="str">
        <x:v>Motherboard</x:v>
      </x:c>
      <x:c r="F5" s="30" t="str">
        <x:v>MSI B550M PRO-VDH WIFI</x:v>
      </x:c>
      <x:c r="G5" s="31" t="n">
        <x:v>95</x:v>
      </x:c>
      <x:c r="H5" s="30" t="str">
        <x:v>Indicative UK procurement budget</x:v>
      </x:c>
      <x:c r="I5" s="30" t="str">
        <x:v>Entry GPU; make the value story about 32GB RAM, a quality case and a clean upgrade path.</x:v>
      </x:c>
    </x:row>
    <x:row r="6" ht="34" customHeight="1">
      <x:c r="A6" s="30" t="str">
        <x:v>FF-GVG-01</x:v>
      </x:c>
      <x:c r="B6" s="30" t="str">
        <x:v>Atlas Essential</x:v>
      </x:c>
      <x:c r="C6" s="30" t="str">
        <x:v>Great-value Gaming</x:v>
      </x:c>
      <x:c r="D6" s="30" t="str">
        <x:v>Budget</x:v>
      </x:c>
      <x:c r="E6" s="30" t="str">
        <x:v>Memory</x:v>
      </x:c>
      <x:c r="F6" s="30" t="str">
        <x:v>32GB (2x16GB) DDR4-3200</x:v>
      </x:c>
      <x:c r="G6" s="31" t="n">
        <x:v>55</x:v>
      </x:c>
      <x:c r="H6" s="30" t="str">
        <x:v>Indicative UK procurement budget</x:v>
      </x:c>
      <x:c r="I6" s="30" t="str">
        <x:v>Entry GPU; make the value story about 32GB RAM, a quality case and a clean upgrade path.</x:v>
      </x:c>
    </x:row>
    <x:row r="7" ht="34" customHeight="1">
      <x:c r="A7" s="30" t="str">
        <x:v>FF-GVG-01</x:v>
      </x:c>
      <x:c r="B7" s="30" t="str">
        <x:v>Atlas Essential</x:v>
      </x:c>
      <x:c r="C7" s="30" t="str">
        <x:v>Great-value Gaming</x:v>
      </x:c>
      <x:c r="D7" s="30" t="str">
        <x:v>Budget</x:v>
      </x:c>
      <x:c r="E7" s="30" t="str">
        <x:v>Graphics</x:v>
      </x:c>
      <x:c r="F7" s="30" t="str">
        <x:v>NVIDIA GeForce RTX 5050 8GB</x:v>
      </x:c>
      <x:c r="G7" s="31" t="n">
        <x:v>250</x:v>
      </x:c>
      <x:c r="H7" s="30" t="str">
        <x:v>Indicative UK procurement budget</x:v>
      </x:c>
      <x:c r="I7" s="30" t="str">
        <x:v>Entry GPU; make the value story about 32GB RAM, a quality case and a clean upgrade path.</x:v>
      </x:c>
    </x:row>
    <x:row r="8" ht="34" customHeight="1">
      <x:c r="A8" s="30" t="str">
        <x:v>FF-GVG-01</x:v>
      </x:c>
      <x:c r="B8" s="30" t="str">
        <x:v>Atlas Essential</x:v>
      </x:c>
      <x:c r="C8" s="30" t="str">
        <x:v>Great-value Gaming</x:v>
      </x:c>
      <x:c r="D8" s="30" t="str">
        <x:v>Budget</x:v>
      </x:c>
      <x:c r="E8" s="30" t="str">
        <x:v>Primary storage</x:v>
      </x:c>
      <x:c r="F8" s="30" t="str">
        <x:v>1TB PCIe 4.0 NVMe SSD</x:v>
      </x:c>
      <x:c r="G8" s="31" t="n">
        <x:v>60</x:v>
      </x:c>
      <x:c r="H8" s="30" t="str">
        <x:v>Indicative UK procurement budget</x:v>
      </x:c>
      <x:c r="I8" s="30" t="str">
        <x:v>Entry GPU; make the value story about 32GB RAM, a quality case and a clean upgrade path.</x:v>
      </x:c>
    </x:row>
    <x:row r="9" ht="34" customHeight="1">
      <x:c r="A9" s="30" t="str">
        <x:v>FF-GVG-01</x:v>
      </x:c>
      <x:c r="B9" s="30" t="str">
        <x:v>Atlas Essential</x:v>
      </x:c>
      <x:c r="C9" s="30" t="str">
        <x:v>Great-value Gaming</x:v>
      </x:c>
      <x:c r="D9" s="30" t="str">
        <x:v>Budget</x:v>
      </x:c>
      <x:c r="E9" s="30" t="str">
        <x:v>Case</x:v>
      </x:c>
      <x:c r="F9" s="30" t="str">
        <x:v>Montech AIR 100 ARGB</x:v>
      </x:c>
      <x:c r="G9" s="31" t="n">
        <x:v>65</x:v>
      </x:c>
      <x:c r="H9" s="30" t="str">
        <x:v>Indicative UK procurement budget</x:v>
      </x:c>
      <x:c r="I9" s="30" t="str">
        <x:v>Entry GPU; make the value story about 32GB RAM, a quality case and a clean upgrade path.</x:v>
      </x:c>
    </x:row>
    <x:row r="10" ht="34" customHeight="1">
      <x:c r="A10" s="30" t="str">
        <x:v>FF-GVG-01</x:v>
      </x:c>
      <x:c r="B10" s="30" t="str">
        <x:v>Atlas Essential</x:v>
      </x:c>
      <x:c r="C10" s="30" t="str">
        <x:v>Great-value Gaming</x:v>
      </x:c>
      <x:c r="D10" s="30" t="str">
        <x:v>Budget</x:v>
      </x:c>
      <x:c r="E10" s="30" t="str">
        <x:v>Power supply</x:v>
      </x:c>
      <x:c r="F10" s="30" t="str">
        <x:v>Corsair CX650 650W 80+ Bronze</x:v>
      </x:c>
      <x:c r="G10" s="31" t="n">
        <x:v>65</x:v>
      </x:c>
      <x:c r="H10" s="30" t="str">
        <x:v>Indicative UK procurement budget</x:v>
      </x:c>
      <x:c r="I10" s="30" t="str">
        <x:v>Entry GPU; make the value story about 32GB RAM, a quality case and a clean upgrade path.</x:v>
      </x:c>
    </x:row>
    <x:row r="11" ht="34" customHeight="1">
      <x:c r="A11" s="30" t="str">
        <x:v>FF-GVG-01</x:v>
      </x:c>
      <x:c r="B11" s="30" t="str">
        <x:v>Atlas Essential</x:v>
      </x:c>
      <x:c r="C11" s="30" t="str">
        <x:v>Great-value Gaming</x:v>
      </x:c>
      <x:c r="D11" s="30" t="str">
        <x:v>Budget</x:v>
      </x:c>
      <x:c r="E11" s="30" t="str">
        <x:v>CPU cooling</x:v>
      </x:c>
      <x:c r="F11" s="30" t="str">
        <x:v>Thermalright Assassin X 120 SE</x:v>
      </x:c>
      <x:c r="G11" s="31" t="n">
        <x:v>20</x:v>
      </x:c>
      <x:c r="H11" s="30" t="str">
        <x:v>Indicative UK procurement budget</x:v>
      </x:c>
      <x:c r="I11" s="30" t="str">
        <x:v>Entry GPU; make the value story about 32GB RAM, a quality case and a clean upgrade path.</x:v>
      </x:c>
    </x:row>
    <x:row r="12" ht="34" customHeight="1">
      <x:c r="A12" s="30" t="str">
        <x:v>FF-GVG-01</x:v>
      </x:c>
      <x:c r="B12" s="30" t="str">
        <x:v>Atlas Essential</x:v>
      </x:c>
      <x:c r="C12" s="30" t="str">
        <x:v>Great-value Gaming</x:v>
      </x:c>
      <x:c r="D12" s="30" t="str">
        <x:v>Budget</x:v>
      </x:c>
      <x:c r="E12" s="30" t="str">
        <x:v>Operating system</x:v>
      </x:c>
      <x:c r="F12" s="30" t="str">
        <x:v>Windows 11 Home</x:v>
      </x:c>
      <x:c r="G12" s="31" t="n">
        <x:v>0</x:v>
      </x:c>
      <x:c r="H12" s="30" t="str">
        <x:v>Indicative UK procurement budget</x:v>
      </x:c>
      <x:c r="I12" s="30" t="str">
        <x:v>Entry GPU; make the value story about 32GB RAM, a quality case and a clean upgrade path.</x:v>
      </x:c>
    </x:row>
    <x:row r="13" ht="34" customHeight="1">
      <x:c r="A13" s="30" t="str">
        <x:v>FF-GVG-02</x:v>
      </x:c>
      <x:c r="B13" s="30" t="str">
        <x:v>Atlas Pulse</x:v>
      </x:c>
      <x:c r="C13" s="30" t="str">
        <x:v>Great-value Gaming</x:v>
      </x:c>
      <x:c r="D13" s="30" t="str">
        <x:v>Mid-range</x:v>
      </x:c>
      <x:c r="E13" s="30" t="str">
        <x:v>CPU / APU</x:v>
      </x:c>
      <x:c r="F13" s="30" t="str">
        <x:v>AMD Ryzen 5 9600X</x:v>
      </x:c>
      <x:c r="G13" s="31" t="n">
        <x:v>205</x:v>
      </x:c>
      <x:c r="H13" s="30" t="str">
        <x:v>Indicative UK procurement budget</x:v>
      </x:c>
      <x:c r="I13" s="30" t="str">
        <x:v>16GB VRAM makes this the strongest price-to-longevity gaming proposition.</x:v>
      </x:c>
    </x:row>
    <x:row r="14" ht="34" customHeight="1">
      <x:c r="A14" s="30" t="str">
        <x:v>FF-GVG-02</x:v>
      </x:c>
      <x:c r="B14" s="30" t="str">
        <x:v>Atlas Pulse</x:v>
      </x:c>
      <x:c r="C14" s="30" t="str">
        <x:v>Great-value Gaming</x:v>
      </x:c>
      <x:c r="D14" s="30" t="str">
        <x:v>Mid-range</x:v>
      </x:c>
      <x:c r="E14" s="30" t="str">
        <x:v>Motherboard</x:v>
      </x:c>
      <x:c r="F14" s="30" t="str">
        <x:v>ASRock B850 Steel Legend WiFi</x:v>
      </x:c>
      <x:c r="G14" s="31" t="n">
        <x:v>190</x:v>
      </x:c>
      <x:c r="H14" s="30" t="str">
        <x:v>Indicative UK procurement budget</x:v>
      </x:c>
      <x:c r="I14" s="30" t="str">
        <x:v>16GB VRAM makes this the strongest price-to-longevity gaming proposition.</x:v>
      </x:c>
    </x:row>
    <x:row r="15" ht="34" customHeight="1">
      <x:c r="A15" s="30" t="str">
        <x:v>FF-GVG-02</x:v>
      </x:c>
      <x:c r="B15" s="30" t="str">
        <x:v>Atlas Pulse</x:v>
      </x:c>
      <x:c r="C15" s="30" t="str">
        <x:v>Great-value Gaming</x:v>
      </x:c>
      <x:c r="D15" s="30" t="str">
        <x:v>Mid-range</x:v>
      </x:c>
      <x:c r="E15" s="30" t="str">
        <x:v>Memory</x:v>
      </x:c>
      <x:c r="F15" s="30" t="str">
        <x:v>32GB (2x16GB) DDR5-6000 CL30</x:v>
      </x:c>
      <x:c r="G15" s="31" t="n">
        <x:v>115</x:v>
      </x:c>
      <x:c r="H15" s="30" t="str">
        <x:v>Indicative UK procurement budget</x:v>
      </x:c>
      <x:c r="I15" s="30" t="str">
        <x:v>16GB VRAM makes this the strongest price-to-longevity gaming proposition.</x:v>
      </x:c>
    </x:row>
    <x:row r="16" ht="34" customHeight="1">
      <x:c r="A16" s="30" t="str">
        <x:v>FF-GVG-02</x:v>
      </x:c>
      <x:c r="B16" s="30" t="str">
        <x:v>Atlas Pulse</x:v>
      </x:c>
      <x:c r="C16" s="30" t="str">
        <x:v>Great-value Gaming</x:v>
      </x:c>
      <x:c r="D16" s="30" t="str">
        <x:v>Mid-range</x:v>
      </x:c>
      <x:c r="E16" s="30" t="str">
        <x:v>Graphics</x:v>
      </x:c>
      <x:c r="F16" s="30" t="str">
        <x:v>AMD Radeon RX 9060 XT 16GB</x:v>
      </x:c>
      <x:c r="G16" s="31" t="n">
        <x:v>430</x:v>
      </x:c>
      <x:c r="H16" s="30" t="str">
        <x:v>Indicative UK procurement budget</x:v>
      </x:c>
      <x:c r="I16" s="30" t="str">
        <x:v>16GB VRAM makes this the strongest price-to-longevity gaming proposition.</x:v>
      </x:c>
    </x:row>
    <x:row r="17" ht="34" customHeight="1">
      <x:c r="A17" s="30" t="str">
        <x:v>FF-GVG-02</x:v>
      </x:c>
      <x:c r="B17" s="30" t="str">
        <x:v>Atlas Pulse</x:v>
      </x:c>
      <x:c r="C17" s="30" t="str">
        <x:v>Great-value Gaming</x:v>
      </x:c>
      <x:c r="D17" s="30" t="str">
        <x:v>Mid-range</x:v>
      </x:c>
      <x:c r="E17" s="30" t="str">
        <x:v>Primary storage</x:v>
      </x:c>
      <x:c r="F17" s="30" t="str">
        <x:v>2TB PCIe 4.0 NVMe SSD</x:v>
      </x:c>
      <x:c r="G17" s="31" t="n">
        <x:v>110</x:v>
      </x:c>
      <x:c r="H17" s="30" t="str">
        <x:v>Indicative UK procurement budget</x:v>
      </x:c>
      <x:c r="I17" s="30" t="str">
        <x:v>16GB VRAM makes this the strongest price-to-longevity gaming proposition.</x:v>
      </x:c>
    </x:row>
    <x:row r="18" ht="34" customHeight="1">
      <x:c r="A18" s="30" t="str">
        <x:v>FF-GVG-02</x:v>
      </x:c>
      <x:c r="B18" s="30" t="str">
        <x:v>Atlas Pulse</x:v>
      </x:c>
      <x:c r="C18" s="30" t="str">
        <x:v>Great-value Gaming</x:v>
      </x:c>
      <x:c r="D18" s="30" t="str">
        <x:v>Mid-range</x:v>
      </x:c>
      <x:c r="E18" s="30" t="str">
        <x:v>Case</x:v>
      </x:c>
      <x:c r="F18" s="30" t="str">
        <x:v>Montech SKY TWO GX</x:v>
      </x:c>
      <x:c r="G18" s="31" t="n">
        <x:v>90</x:v>
      </x:c>
      <x:c r="H18" s="30" t="str">
        <x:v>Indicative UK procurement budget</x:v>
      </x:c>
      <x:c r="I18" s="30" t="str">
        <x:v>16GB VRAM makes this the strongest price-to-longevity gaming proposition.</x:v>
      </x:c>
    </x:row>
    <x:row r="19" ht="34" customHeight="1">
      <x:c r="A19" s="30" t="str">
        <x:v>FF-GVG-02</x:v>
      </x:c>
      <x:c r="B19" s="30" t="str">
        <x:v>Atlas Pulse</x:v>
      </x:c>
      <x:c r="C19" s="30" t="str">
        <x:v>Great-value Gaming</x:v>
      </x:c>
      <x:c r="D19" s="30" t="str">
        <x:v>Mid-range</x:v>
      </x:c>
      <x:c r="E19" s="30" t="str">
        <x:v>Power supply</x:v>
      </x:c>
      <x:c r="F19" s="30" t="str">
        <x:v>Corsair RM750e 750W 80+ Gold</x:v>
      </x:c>
      <x:c r="G19" s="31" t="n">
        <x:v>100</x:v>
      </x:c>
      <x:c r="H19" s="30" t="str">
        <x:v>Indicative UK procurement budget</x:v>
      </x:c>
      <x:c r="I19" s="30" t="str">
        <x:v>16GB VRAM makes this the strongest price-to-longevity gaming proposition.</x:v>
      </x:c>
    </x:row>
    <x:row r="20" ht="34" customHeight="1">
      <x:c r="A20" s="30" t="str">
        <x:v>FF-GVG-02</x:v>
      </x:c>
      <x:c r="B20" s="30" t="str">
        <x:v>Atlas Pulse</x:v>
      </x:c>
      <x:c r="C20" s="30" t="str">
        <x:v>Great-value Gaming</x:v>
      </x:c>
      <x:c r="D20" s="30" t="str">
        <x:v>Mid-range</x:v>
      </x:c>
      <x:c r="E20" s="30" t="str">
        <x:v>CPU cooling</x:v>
      </x:c>
      <x:c r="F20" s="30" t="str">
        <x:v>Thermalright Peerless Assassin 120 SE</x:v>
      </x:c>
      <x:c r="G20" s="31" t="n">
        <x:v>35</x:v>
      </x:c>
      <x:c r="H20" s="30" t="str">
        <x:v>Indicative UK procurement budget</x:v>
      </x:c>
      <x:c r="I20" s="30" t="str">
        <x:v>16GB VRAM makes this the strongest price-to-longevity gaming proposition.</x:v>
      </x:c>
    </x:row>
    <x:row r="21" ht="34" customHeight="1">
      <x:c r="A21" s="30" t="str">
        <x:v>FF-GVG-02</x:v>
      </x:c>
      <x:c r="B21" s="30" t="str">
        <x:v>Atlas Pulse</x:v>
      </x:c>
      <x:c r="C21" s="30" t="str">
        <x:v>Great-value Gaming</x:v>
      </x:c>
      <x:c r="D21" s="30" t="str">
        <x:v>Mid-range</x:v>
      </x:c>
      <x:c r="E21" s="30" t="str">
        <x:v>Operating system</x:v>
      </x:c>
      <x:c r="F21" s="30" t="str">
        <x:v>Windows 11 Home</x:v>
      </x:c>
      <x:c r="G21" s="31" t="n">
        <x:v>0</x:v>
      </x:c>
      <x:c r="H21" s="30" t="str">
        <x:v>Indicative UK procurement budget</x:v>
      </x:c>
      <x:c r="I21" s="30" t="str">
        <x:v>16GB VRAM makes this the strongest price-to-longevity gaming proposition.</x:v>
      </x:c>
    </x:row>
    <x:row r="22" ht="34" customHeight="1">
      <x:c r="A22" s="30" t="str">
        <x:v>FF-GVG-03</x:v>
      </x:c>
      <x:c r="B22" s="30" t="str">
        <x:v>Atlas Apex</x:v>
      </x:c>
      <x:c r="C22" s="30" t="str">
        <x:v>Great-value Gaming</x:v>
      </x:c>
      <x:c r="D22" s="30" t="str">
        <x:v>High-end</x:v>
      </x:c>
      <x:c r="E22" s="30" t="str">
        <x:v>CPU / APU</x:v>
      </x:c>
      <x:c r="F22" s="30" t="str">
        <x:v>AMD Ryzen 7 9800X3D</x:v>
      </x:c>
      <x:c r="G22" s="31" t="n">
        <x:v>390</x:v>
      </x:c>
      <x:c r="H22" s="30" t="str">
        <x:v>Indicative UK procurement budget</x:v>
      </x:c>
      <x:c r="I22" s="30" t="str">
        <x:v>The sensible enthusiast alternative to ultra-expensive halo GPUs.</x:v>
      </x:c>
    </x:row>
    <x:row r="23" ht="34" customHeight="1">
      <x:c r="A23" s="30" t="str">
        <x:v>FF-GVG-03</x:v>
      </x:c>
      <x:c r="B23" s="30" t="str">
        <x:v>Atlas Apex</x:v>
      </x:c>
      <x:c r="C23" s="30" t="str">
        <x:v>Great-value Gaming</x:v>
      </x:c>
      <x:c r="D23" s="30" t="str">
        <x:v>High-end</x:v>
      </x:c>
      <x:c r="E23" s="30" t="str">
        <x:v>Motherboard</x:v>
      </x:c>
      <x:c r="F23" s="30" t="str">
        <x:v>ASUS TUF Gaming X870-PLUS WIFI</x:v>
      </x:c>
      <x:c r="G23" s="31" t="n">
        <x:v>240</x:v>
      </x:c>
      <x:c r="H23" s="30" t="str">
        <x:v>Indicative UK procurement budget</x:v>
      </x:c>
      <x:c r="I23" s="30" t="str">
        <x:v>The sensible enthusiast alternative to ultra-expensive halo GPUs.</x:v>
      </x:c>
    </x:row>
    <x:row r="24" ht="34" customHeight="1">
      <x:c r="A24" s="30" t="str">
        <x:v>FF-GVG-03</x:v>
      </x:c>
      <x:c r="B24" s="30" t="str">
        <x:v>Atlas Apex</x:v>
      </x:c>
      <x:c r="C24" s="30" t="str">
        <x:v>Great-value Gaming</x:v>
      </x:c>
      <x:c r="D24" s="30" t="str">
        <x:v>High-end</x:v>
      </x:c>
      <x:c r="E24" s="30" t="str">
        <x:v>Memory</x:v>
      </x:c>
      <x:c r="F24" s="30" t="str">
        <x:v>32GB (2x16GB) DDR5-6000 CL30</x:v>
      </x:c>
      <x:c r="G24" s="31" t="n">
        <x:v>115</x:v>
      </x:c>
      <x:c r="H24" s="30" t="str">
        <x:v>Indicative UK procurement budget</x:v>
      </x:c>
      <x:c r="I24" s="30" t="str">
        <x:v>The sensible enthusiast alternative to ultra-expensive halo GPUs.</x:v>
      </x:c>
    </x:row>
    <x:row r="25" ht="34" customHeight="1">
      <x:c r="A25" s="30" t="str">
        <x:v>FF-GVG-03</x:v>
      </x:c>
      <x:c r="B25" s="30" t="str">
        <x:v>Atlas Apex</x:v>
      </x:c>
      <x:c r="C25" s="30" t="str">
        <x:v>Great-value Gaming</x:v>
      </x:c>
      <x:c r="D25" s="30" t="str">
        <x:v>High-end</x:v>
      </x:c>
      <x:c r="E25" s="30" t="str">
        <x:v>Graphics</x:v>
      </x:c>
      <x:c r="F25" s="30" t="str">
        <x:v>AMD Radeon RX 9070 16GB</x:v>
      </x:c>
      <x:c r="G25" s="31" t="n">
        <x:v>600</x:v>
      </x:c>
      <x:c r="H25" s="30" t="str">
        <x:v>Indicative UK procurement budget</x:v>
      </x:c>
      <x:c r="I25" s="30" t="str">
        <x:v>The sensible enthusiast alternative to ultra-expensive halo GPUs.</x:v>
      </x:c>
    </x:row>
    <x:row r="26" ht="34" customHeight="1">
      <x:c r="A26" s="30" t="str">
        <x:v>FF-GVG-03</x:v>
      </x:c>
      <x:c r="B26" s="30" t="str">
        <x:v>Atlas Apex</x:v>
      </x:c>
      <x:c r="C26" s="30" t="str">
        <x:v>Great-value Gaming</x:v>
      </x:c>
      <x:c r="D26" s="30" t="str">
        <x:v>High-end</x:v>
      </x:c>
      <x:c r="E26" s="30" t="str">
        <x:v>Primary storage</x:v>
      </x:c>
      <x:c r="F26" s="30" t="str">
        <x:v>2TB PCIe 4.0 NVMe SSD</x:v>
      </x:c>
      <x:c r="G26" s="31" t="n">
        <x:v>110</x:v>
      </x:c>
      <x:c r="H26" s="30" t="str">
        <x:v>Indicative UK procurement budget</x:v>
      </x:c>
      <x:c r="I26" s="30" t="str">
        <x:v>The sensible enthusiast alternative to ultra-expensive halo GPUs.</x:v>
      </x:c>
    </x:row>
    <x:row r="27" ht="34" customHeight="1">
      <x:c r="A27" s="30" t="str">
        <x:v>FF-GVG-03</x:v>
      </x:c>
      <x:c r="B27" s="30" t="str">
        <x:v>Atlas Apex</x:v>
      </x:c>
      <x:c r="C27" s="30" t="str">
        <x:v>Great-value Gaming</x:v>
      </x:c>
      <x:c r="D27" s="30" t="str">
        <x:v>High-end</x:v>
      </x:c>
      <x:c r="E27" s="30" t="str">
        <x:v>Case</x:v>
      </x:c>
      <x:c r="F27" s="30" t="str">
        <x:v>Lian Li LANCOOL 207</x:v>
      </x:c>
      <x:c r="G27" s="31" t="n">
        <x:v>85</x:v>
      </x:c>
      <x:c r="H27" s="30" t="str">
        <x:v>Indicative UK procurement budget</x:v>
      </x:c>
      <x:c r="I27" s="30" t="str">
        <x:v>The sensible enthusiast alternative to ultra-expensive halo GPUs.</x:v>
      </x:c>
    </x:row>
    <x:row r="28" ht="34" customHeight="1">
      <x:c r="A28" s="30" t="str">
        <x:v>FF-GVG-03</x:v>
      </x:c>
      <x:c r="B28" s="30" t="str">
        <x:v>Atlas Apex</x:v>
      </x:c>
      <x:c r="C28" s="30" t="str">
        <x:v>Great-value Gaming</x:v>
      </x:c>
      <x:c r="D28" s="30" t="str">
        <x:v>High-end</x:v>
      </x:c>
      <x:c r="E28" s="30" t="str">
        <x:v>Power supply</x:v>
      </x:c>
      <x:c r="F28" s="30" t="str">
        <x:v>Corsair RM850e 850W 80+ Gold</x:v>
      </x:c>
      <x:c r="G28" s="31" t="n">
        <x:v>120</x:v>
      </x:c>
      <x:c r="H28" s="30" t="str">
        <x:v>Indicative UK procurement budget</x:v>
      </x:c>
      <x:c r="I28" s="30" t="str">
        <x:v>The sensible enthusiast alternative to ultra-expensive halo GPUs.</x:v>
      </x:c>
    </x:row>
    <x:row r="29" ht="34" customHeight="1">
      <x:c r="A29" s="30" t="str">
        <x:v>FF-GVG-03</x:v>
      </x:c>
      <x:c r="B29" s="30" t="str">
        <x:v>Atlas Apex</x:v>
      </x:c>
      <x:c r="C29" s="30" t="str">
        <x:v>Great-value Gaming</x:v>
      </x:c>
      <x:c r="D29" s="30" t="str">
        <x:v>High-end</x:v>
      </x:c>
      <x:c r="E29" s="30" t="str">
        <x:v>CPU cooling</x:v>
      </x:c>
      <x:c r="F29" s="30" t="str">
        <x:v>Arctic Liquid Freezer III 240</x:v>
      </x:c>
      <x:c r="G29" s="31" t="n">
        <x:v>70</x:v>
      </x:c>
      <x:c r="H29" s="30" t="str">
        <x:v>Indicative UK procurement budget</x:v>
      </x:c>
      <x:c r="I29" s="30" t="str">
        <x:v>The sensible enthusiast alternative to ultra-expensive halo GPUs.</x:v>
      </x:c>
    </x:row>
    <x:row r="30" ht="34" customHeight="1">
      <x:c r="A30" s="30" t="str">
        <x:v>FF-GVG-03</x:v>
      </x:c>
      <x:c r="B30" s="30" t="str">
        <x:v>Atlas Apex</x:v>
      </x:c>
      <x:c r="C30" s="30" t="str">
        <x:v>Great-value Gaming</x:v>
      </x:c>
      <x:c r="D30" s="30" t="str">
        <x:v>High-end</x:v>
      </x:c>
      <x:c r="E30" s="30" t="str">
        <x:v>Operating system</x:v>
      </x:c>
      <x:c r="F30" s="30" t="str">
        <x:v>Windows 11 Home</x:v>
      </x:c>
      <x:c r="G30" s="31" t="n">
        <x:v>0</x:v>
      </x:c>
      <x:c r="H30" s="30" t="str">
        <x:v>Indicative UK procurement budget</x:v>
      </x:c>
      <x:c r="I30" s="30" t="str">
        <x:v>The sensible enthusiast alternative to ultra-expensive halo GPUs.</x:v>
      </x:c>
    </x:row>
    <x:row r="31" ht="34" customHeight="1">
      <x:c r="A31" s="30" t="str">
        <x:v>FF-HPG-01</x:v>
      </x:c>
      <x:c r="B31" s="30" t="str">
        <x:v>Vortex Start</x:v>
      </x:c>
      <x:c r="C31" s="30" t="str">
        <x:v>High-performance Gaming</x:v>
      </x:c>
      <x:c r="D31" s="30" t="str">
        <x:v>Budget</x:v>
      </x:c>
      <x:c r="E31" s="30" t="str">
        <x:v>CPU / APU</x:v>
      </x:c>
      <x:c r="F31" s="30" t="str">
        <x:v>Intel Core Ultra 5 250K Plus</x:v>
      </x:c>
      <x:c r="G31" s="31" t="n">
        <x:v>215</x:v>
      </x:c>
      <x:c r="H31" s="30" t="str">
        <x:v>Indicative UK procurement budget</x:v>
      </x:c>
      <x:c r="I31" s="30" t="str">
        <x:v>NVIDIA 16GB gives a gaming customer a credible route into local AI later.</x:v>
      </x:c>
    </x:row>
    <x:row r="32" ht="34" customHeight="1">
      <x:c r="A32" s="30" t="str">
        <x:v>FF-HPG-01</x:v>
      </x:c>
      <x:c r="B32" s="30" t="str">
        <x:v>Vortex Start</x:v>
      </x:c>
      <x:c r="C32" s="30" t="str">
        <x:v>High-performance Gaming</x:v>
      </x:c>
      <x:c r="D32" s="30" t="str">
        <x:v>Budget</x:v>
      </x:c>
      <x:c r="E32" s="30" t="str">
        <x:v>Motherboard</x:v>
      </x:c>
      <x:c r="F32" s="30" t="str">
        <x:v>MSI Z890 GAMING PLUS WIFI</x:v>
      </x:c>
      <x:c r="G32" s="31" t="n">
        <x:v>210</x:v>
      </x:c>
      <x:c r="H32" s="30" t="str">
        <x:v>Indicative UK procurement budget</x:v>
      </x:c>
      <x:c r="I32" s="30" t="str">
        <x:v>NVIDIA 16GB gives a gaming customer a credible route into local AI later.</x:v>
      </x:c>
    </x:row>
    <x:row r="33" ht="34" customHeight="1">
      <x:c r="A33" s="30" t="str">
        <x:v>FF-HPG-01</x:v>
      </x:c>
      <x:c r="B33" s="30" t="str">
        <x:v>Vortex Start</x:v>
      </x:c>
      <x:c r="C33" s="30" t="str">
        <x:v>High-performance Gaming</x:v>
      </x:c>
      <x:c r="D33" s="30" t="str">
        <x:v>Budget</x:v>
      </x:c>
      <x:c r="E33" s="30" t="str">
        <x:v>Memory</x:v>
      </x:c>
      <x:c r="F33" s="30" t="str">
        <x:v>32GB (2x16GB) DDR5-6400</x:v>
      </x:c>
      <x:c r="G33" s="31" t="n">
        <x:v>140</x:v>
      </x:c>
      <x:c r="H33" s="30" t="str">
        <x:v>Indicative UK procurement budget</x:v>
      </x:c>
      <x:c r="I33" s="30" t="str">
        <x:v>NVIDIA 16GB gives a gaming customer a credible route into local AI later.</x:v>
      </x:c>
    </x:row>
    <x:row r="34" ht="34" customHeight="1">
      <x:c r="A34" s="30" t="str">
        <x:v>FF-HPG-01</x:v>
      </x:c>
      <x:c r="B34" s="30" t="str">
        <x:v>Vortex Start</x:v>
      </x:c>
      <x:c r="C34" s="30" t="str">
        <x:v>High-performance Gaming</x:v>
      </x:c>
      <x:c r="D34" s="30" t="str">
        <x:v>Budget</x:v>
      </x:c>
      <x:c r="E34" s="30" t="str">
        <x:v>Graphics</x:v>
      </x:c>
      <x:c r="F34" s="30" t="str">
        <x:v>NVIDIA GeForce RTX 5060 Ti 16GB</x:v>
      </x:c>
      <x:c r="G34" s="31" t="n">
        <x:v>650</x:v>
      </x:c>
      <x:c r="H34" s="30" t="str">
        <x:v>Indicative UK procurement budget</x:v>
      </x:c>
      <x:c r="I34" s="30" t="str">
        <x:v>NVIDIA 16GB gives a gaming customer a credible route into local AI later.</x:v>
      </x:c>
    </x:row>
    <x:row r="35" ht="34" customHeight="1">
      <x:c r="A35" s="30" t="str">
        <x:v>FF-HPG-01</x:v>
      </x:c>
      <x:c r="B35" s="30" t="str">
        <x:v>Vortex Start</x:v>
      </x:c>
      <x:c r="C35" s="30" t="str">
        <x:v>High-performance Gaming</x:v>
      </x:c>
      <x:c r="D35" s="30" t="str">
        <x:v>Budget</x:v>
      </x:c>
      <x:c r="E35" s="30" t="str">
        <x:v>Primary storage</x:v>
      </x:c>
      <x:c r="F35" s="30" t="str">
        <x:v>1TB PCIe 4.0 NVMe SSD</x:v>
      </x:c>
      <x:c r="G35" s="31" t="n">
        <x:v>60</x:v>
      </x:c>
      <x:c r="H35" s="30" t="str">
        <x:v>Indicative UK procurement budget</x:v>
      </x:c>
      <x:c r="I35" s="30" t="str">
        <x:v>NVIDIA 16GB gives a gaming customer a credible route into local AI later.</x:v>
      </x:c>
    </x:row>
    <x:row r="36" ht="34" customHeight="1">
      <x:c r="A36" s="30" t="str">
        <x:v>FF-HPG-01</x:v>
      </x:c>
      <x:c r="B36" s="30" t="str">
        <x:v>Vortex Start</x:v>
      </x:c>
      <x:c r="C36" s="30" t="str">
        <x:v>High-performance Gaming</x:v>
      </x:c>
      <x:c r="D36" s="30" t="str">
        <x:v>Budget</x:v>
      </x:c>
      <x:c r="E36" s="30" t="str">
        <x:v>Case</x:v>
      </x:c>
      <x:c r="F36" s="30" t="str">
        <x:v>NZXT H5 Flow</x:v>
      </x:c>
      <x:c r="G36" s="31" t="n">
        <x:v>85</x:v>
      </x:c>
      <x:c r="H36" s="30" t="str">
        <x:v>Indicative UK procurement budget</x:v>
      </x:c>
      <x:c r="I36" s="30" t="str">
        <x:v>NVIDIA 16GB gives a gaming customer a credible route into local AI later.</x:v>
      </x:c>
    </x:row>
    <x:row r="37" ht="34" customHeight="1">
      <x:c r="A37" s="30" t="str">
        <x:v>FF-HPG-01</x:v>
      </x:c>
      <x:c r="B37" s="30" t="str">
        <x:v>Vortex Start</x:v>
      </x:c>
      <x:c r="C37" s="30" t="str">
        <x:v>High-performance Gaming</x:v>
      </x:c>
      <x:c r="D37" s="30" t="str">
        <x:v>Budget</x:v>
      </x:c>
      <x:c r="E37" s="30" t="str">
        <x:v>Power supply</x:v>
      </x:c>
      <x:c r="F37" s="30" t="str">
        <x:v>Corsair RM750e 750W 80+ Gold</x:v>
      </x:c>
      <x:c r="G37" s="31" t="n">
        <x:v>100</x:v>
      </x:c>
      <x:c r="H37" s="30" t="str">
        <x:v>Indicative UK procurement budget</x:v>
      </x:c>
      <x:c r="I37" s="30" t="str">
        <x:v>NVIDIA 16GB gives a gaming customer a credible route into local AI later.</x:v>
      </x:c>
    </x:row>
    <x:row r="38" ht="34" customHeight="1">
      <x:c r="A38" s="30" t="str">
        <x:v>FF-HPG-01</x:v>
      </x:c>
      <x:c r="B38" s="30" t="str">
        <x:v>Vortex Start</x:v>
      </x:c>
      <x:c r="C38" s="30" t="str">
        <x:v>High-performance Gaming</x:v>
      </x:c>
      <x:c r="D38" s="30" t="str">
        <x:v>Budget</x:v>
      </x:c>
      <x:c r="E38" s="30" t="str">
        <x:v>CPU cooling</x:v>
      </x:c>
      <x:c r="F38" s="30" t="str">
        <x:v>Thermalright Phantom Spirit 120 SE</x:v>
      </x:c>
      <x:c r="G38" s="31" t="n">
        <x:v>45</x:v>
      </x:c>
      <x:c r="H38" s="30" t="str">
        <x:v>Indicative UK procurement budget</x:v>
      </x:c>
      <x:c r="I38" s="30" t="str">
        <x:v>NVIDIA 16GB gives a gaming customer a credible route into local AI later.</x:v>
      </x:c>
    </x:row>
    <x:row r="39" ht="34" customHeight="1">
      <x:c r="A39" s="30" t="str">
        <x:v>FF-HPG-01</x:v>
      </x:c>
      <x:c r="B39" s="30" t="str">
        <x:v>Vortex Start</x:v>
      </x:c>
      <x:c r="C39" s="30" t="str">
        <x:v>High-performance Gaming</x:v>
      </x:c>
      <x:c r="D39" s="30" t="str">
        <x:v>Budget</x:v>
      </x:c>
      <x:c r="E39" s="30" t="str">
        <x:v>Operating system</x:v>
      </x:c>
      <x:c r="F39" s="30" t="str">
        <x:v>Windows 11 Home</x:v>
      </x:c>
      <x:c r="G39" s="31" t="n">
        <x:v>0</x:v>
      </x:c>
      <x:c r="H39" s="30" t="str">
        <x:v>Indicative UK procurement budget</x:v>
      </x:c>
      <x:c r="I39" s="30" t="str">
        <x:v>NVIDIA 16GB gives a gaming customer a credible route into local AI later.</x:v>
      </x:c>
    </x:row>
    <x:row r="40" ht="34" customHeight="1">
      <x:c r="A40" s="30" t="str">
        <x:v>FF-HPG-02</x:v>
      </x:c>
      <x:c r="B40" s="30" t="str">
        <x:v>Prometheus ChromaFlair</x:v>
      </x:c>
      <x:c r="C40" s="30" t="str">
        <x:v>High-performance Gaming</x:v>
      </x:c>
      <x:c r="D40" s="30" t="str">
        <x:v>Mid-range</x:v>
      </x:c>
      <x:c r="E40" s="30" t="str">
        <x:v>CPU / APU</x:v>
      </x:c>
      <x:c r="F40" s="30" t="str">
        <x:v>AMD Ryzen 7 7800X3D</x:v>
      </x:c>
      <x:c r="G40" s="31" t="n">
        <x:v>300</x:v>
      </x:c>
      <x:c r="H40" s="30" t="str">
        <x:v>Indicative UK procurement budget</x:v>
      </x:c>
      <x:c r="I40" s="30" t="str">
        <x:v>Your existing recent build, retained as specified. Only the RTX 3070 is replaced with the RX 9070 XT.</x:v>
      </x:c>
    </x:row>
    <x:row r="41" ht="34" customHeight="1">
      <x:c r="A41" s="30" t="str">
        <x:v>FF-HPG-02</x:v>
      </x:c>
      <x:c r="B41" s="30" t="str">
        <x:v>Prometheus ChromaFlair</x:v>
      </x:c>
      <x:c r="C41" s="30" t="str">
        <x:v>High-performance Gaming</x:v>
      </x:c>
      <x:c r="D41" s="30" t="str">
        <x:v>Mid-range</x:v>
      </x:c>
      <x:c r="E41" s="30" t="str">
        <x:v>Motherboard</x:v>
      </x:c>
      <x:c r="F41" s="30" t="str">
        <x:v>ASUS PRIME X870-P</x:v>
      </x:c>
      <x:c r="G41" s="31" t="n">
        <x:v>165</x:v>
      </x:c>
      <x:c r="H41" s="30" t="str">
        <x:v>Indicative UK procurement budget</x:v>
      </x:c>
      <x:c r="I41" s="30" t="str">
        <x:v>Your existing recent build, retained as specified. Only the RTX 3070 is replaced with the RX 9070 XT.</x:v>
      </x:c>
    </x:row>
    <x:row r="42" ht="34" customHeight="1">
      <x:c r="A42" s="30" t="str">
        <x:v>FF-HPG-02</x:v>
      </x:c>
      <x:c r="B42" s="30" t="str">
        <x:v>Prometheus ChromaFlair</x:v>
      </x:c>
      <x:c r="C42" s="30" t="str">
        <x:v>High-performance Gaming</x:v>
      </x:c>
      <x:c r="D42" s="30" t="str">
        <x:v>Mid-range</x:v>
      </x:c>
      <x:c r="E42" s="30" t="str">
        <x:v>Memory</x:v>
      </x:c>
      <x:c r="F42" s="30" t="str">
        <x:v>32GB (2x16GB) Lexar DDR5-6400 CL38</x:v>
      </x:c>
      <x:c r="G42" s="31" t="n">
        <x:v>250</x:v>
      </x:c>
      <x:c r="H42" s="30" t="str">
        <x:v>Indicative UK procurement budget</x:v>
      </x:c>
      <x:c r="I42" s="30" t="str">
        <x:v>Your existing recent build, retained as specified. Only the RTX 3070 is replaced with the RX 9070 XT.</x:v>
      </x:c>
    </x:row>
    <x:row r="43" ht="34" customHeight="1">
      <x:c r="A43" s="30" t="str">
        <x:v>FF-HPG-02</x:v>
      </x:c>
      <x:c r="B43" s="30" t="str">
        <x:v>Prometheus ChromaFlair</x:v>
      </x:c>
      <x:c r="C43" s="30" t="str">
        <x:v>High-performance Gaming</x:v>
      </x:c>
      <x:c r="D43" s="30" t="str">
        <x:v>Mid-range</x:v>
      </x:c>
      <x:c r="E43" s="30" t="str">
        <x:v>Graphics</x:v>
      </x:c>
      <x:c r="F43" s="30" t="str">
        <x:v>AMD Radeon RX 9070 XT 16GB</x:v>
      </x:c>
      <x:c r="G43" s="31" t="n">
        <x:v>760</x:v>
      </x:c>
      <x:c r="H43" s="30" t="str">
        <x:v>Indicative UK procurement budget</x:v>
      </x:c>
      <x:c r="I43" s="30" t="str">
        <x:v>Your existing recent build, retained as specified. Only the RTX 3070 is replaced with the RX 9070 XT.</x:v>
      </x:c>
    </x:row>
    <x:row r="44" ht="34" customHeight="1">
      <x:c r="A44" s="30" t="str">
        <x:v>FF-HPG-02</x:v>
      </x:c>
      <x:c r="B44" s="30" t="str">
        <x:v>Prometheus ChromaFlair</x:v>
      </x:c>
      <x:c r="C44" s="30" t="str">
        <x:v>High-performance Gaming</x:v>
      </x:c>
      <x:c r="D44" s="30" t="str">
        <x:v>Mid-range</x:v>
      </x:c>
      <x:c r="E44" s="30" t="str">
        <x:v>Primary storage</x:v>
      </x:c>
      <x:c r="F44" s="30" t="str">
        <x:v>1TB PCIe 3.0 NVMe SSD</x:v>
      </x:c>
      <x:c r="G44" s="31" t="n">
        <x:v>45</x:v>
      </x:c>
      <x:c r="H44" s="30" t="str">
        <x:v>Indicative UK procurement budget</x:v>
      </x:c>
      <x:c r="I44" s="30" t="str">
        <x:v>Your existing recent build, retained as specified. Only the RTX 3070 is replaced with the RX 9070 XT.</x:v>
      </x:c>
    </x:row>
    <x:row r="45" ht="34" customHeight="1">
      <x:c r="A45" s="30" t="str">
        <x:v>FF-HPG-02</x:v>
      </x:c>
      <x:c r="B45" s="30" t="str">
        <x:v>Prometheus ChromaFlair</x:v>
      </x:c>
      <x:c r="C45" s="30" t="str">
        <x:v>High-performance Gaming</x:v>
      </x:c>
      <x:c r="D45" s="30" t="str">
        <x:v>Mid-range</x:v>
      </x:c>
      <x:c r="E45" s="30" t="str">
        <x:v>Case</x:v>
      </x:c>
      <x:c r="F45" s="30" t="str">
        <x:v>APNX Creator C1 ChromaFlair</x:v>
      </x:c>
      <x:c r="G45" s="31" t="n">
        <x:v>150</x:v>
      </x:c>
      <x:c r="H45" s="30" t="str">
        <x:v>Indicative UK procurement budget</x:v>
      </x:c>
      <x:c r="I45" s="30" t="str">
        <x:v>Your existing recent build, retained as specified. Only the RTX 3070 is replaced with the RX 9070 XT.</x:v>
      </x:c>
    </x:row>
    <x:row r="46" ht="34" customHeight="1">
      <x:c r="A46" s="30" t="str">
        <x:v>FF-HPG-02</x:v>
      </x:c>
      <x:c r="B46" s="30" t="str">
        <x:v>Prometheus ChromaFlair</x:v>
      </x:c>
      <x:c r="C46" s="30" t="str">
        <x:v>High-performance Gaming</x:v>
      </x:c>
      <x:c r="D46" s="30" t="str">
        <x:v>Mid-range</x:v>
      </x:c>
      <x:c r="E46" s="30" t="str">
        <x:v>Power supply</x:v>
      </x:c>
      <x:c r="F46" s="30" t="str">
        <x:v>Corsair RM750i 750W modular</x:v>
      </x:c>
      <x:c r="G46" s="31" t="n">
        <x:v>57</x:v>
      </x:c>
      <x:c r="H46" s="30" t="str">
        <x:v>Indicative UK procurement budget</x:v>
      </x:c>
      <x:c r="I46" s="30" t="str">
        <x:v>Your existing recent build, retained as specified. Only the RTX 3070 is replaced with the RX 9070 XT.</x:v>
      </x:c>
    </x:row>
    <x:row r="47" ht="34" customHeight="1">
      <x:c r="A47" s="30" t="str">
        <x:v>FF-HPG-02</x:v>
      </x:c>
      <x:c r="B47" s="30" t="str">
        <x:v>Prometheus ChromaFlair</x:v>
      </x:c>
      <x:c r="C47" s="30" t="str">
        <x:v>High-performance Gaming</x:v>
      </x:c>
      <x:c r="D47" s="30" t="str">
        <x:v>Mid-range</x:v>
      </x:c>
      <x:c r="E47" s="30" t="str">
        <x:v>CPU cooling</x:v>
      </x:c>
      <x:c r="F47" s="30" t="str">
        <x:v>Thermalright Aqua Elite 240 V3</x:v>
      </x:c>
      <x:c r="G47" s="31" t="n">
        <x:v>45</x:v>
      </x:c>
      <x:c r="H47" s="30" t="str">
        <x:v>Indicative UK procurement budget</x:v>
      </x:c>
      <x:c r="I47" s="30" t="str">
        <x:v>Your existing recent build, retained as specified. Only the RTX 3070 is replaced with the RX 9070 XT.</x:v>
      </x:c>
    </x:row>
    <x:row r="48" ht="34" customHeight="1">
      <x:c r="A48" s="30" t="str">
        <x:v>FF-HPG-02</x:v>
      </x:c>
      <x:c r="B48" s="30" t="str">
        <x:v>Prometheus ChromaFlair</x:v>
      </x:c>
      <x:c r="C48" s="30" t="str">
        <x:v>High-performance Gaming</x:v>
      </x:c>
      <x:c r="D48" s="30" t="str">
        <x:v>Mid-range</x:v>
      </x:c>
      <x:c r="E48" s="30" t="str">
        <x:v>Operating system</x:v>
      </x:c>
      <x:c r="F48" s="30" t="str">
        <x:v>Windows 11 Home</x:v>
      </x:c>
      <x:c r="G48" s="31" t="n">
        <x:v>0</x:v>
      </x:c>
      <x:c r="H48" s="30" t="str">
        <x:v>Indicative UK procurement budget</x:v>
      </x:c>
      <x:c r="I48" s="30" t="str">
        <x:v>Your existing recent build, retained as specified. Only the RTX 3070 is replaced with the RX 9070 XT.</x:v>
      </x:c>
    </x:row>
    <x:row r="49" ht="34" customHeight="1">
      <x:c r="A49" s="30" t="str">
        <x:v>FF-HPG-03</x:v>
      </x:c>
      <x:c r="B49" s="30" t="str">
        <x:v>Vortex Titan</x:v>
      </x:c>
      <x:c r="C49" s="30" t="str">
        <x:v>High-performance Gaming</x:v>
      </x:c>
      <x:c r="D49" s="30" t="str">
        <x:v>High-end</x:v>
      </x:c>
      <x:c r="E49" s="30" t="str">
        <x:v>CPU / APU</x:v>
      </x:c>
      <x:c r="F49" s="30" t="str">
        <x:v>AMD Ryzen 7 9850X3D</x:v>
      </x:c>
      <x:c r="G49" s="31" t="n">
        <x:v>500</x:v>
      </x:c>
      <x:c r="H49" s="30" t="str">
        <x:v>Indicative UK procurement budget</x:v>
      </x:c>
      <x:c r="I49" s="30" t="str">
        <x:v>A halo build: protect margin with concierge setup, extensive benchmarking and premium aftercare.</x:v>
      </x:c>
    </x:row>
    <x:row r="50" ht="34" customHeight="1">
      <x:c r="A50" s="30" t="str">
        <x:v>FF-HPG-03</x:v>
      </x:c>
      <x:c r="B50" s="30" t="str">
        <x:v>Vortex Titan</x:v>
      </x:c>
      <x:c r="C50" s="30" t="str">
        <x:v>High-performance Gaming</x:v>
      </x:c>
      <x:c r="D50" s="30" t="str">
        <x:v>High-end</x:v>
      </x:c>
      <x:c r="E50" s="30" t="str">
        <x:v>Motherboard</x:v>
      </x:c>
      <x:c r="F50" s="30" t="str">
        <x:v>ASUS ROG Crosshair X870E Hero</x:v>
      </x:c>
      <x:c r="G50" s="31" t="n">
        <x:v>650</x:v>
      </x:c>
      <x:c r="H50" s="30" t="str">
        <x:v>Indicative UK procurement budget</x:v>
      </x:c>
      <x:c r="I50" s="30" t="str">
        <x:v>A halo build: protect margin with concierge setup, extensive benchmarking and premium aftercare.</x:v>
      </x:c>
    </x:row>
    <x:row r="51" ht="34" customHeight="1">
      <x:c r="A51" s="30" t="str">
        <x:v>FF-HPG-03</x:v>
      </x:c>
      <x:c r="B51" s="30" t="str">
        <x:v>Vortex Titan</x:v>
      </x:c>
      <x:c r="C51" s="30" t="str">
        <x:v>High-performance Gaming</x:v>
      </x:c>
      <x:c r="D51" s="30" t="str">
        <x:v>High-end</x:v>
      </x:c>
      <x:c r="E51" s="30" t="str">
        <x:v>Memory</x:v>
      </x:c>
      <x:c r="F51" s="30" t="str">
        <x:v>64GB (2x32GB) DDR5-6000 CL30</x:v>
      </x:c>
      <x:c r="G51" s="31" t="n">
        <x:v>220</x:v>
      </x:c>
      <x:c r="H51" s="30" t="str">
        <x:v>Indicative UK procurement budget</x:v>
      </x:c>
      <x:c r="I51" s="30" t="str">
        <x:v>A halo build: protect margin with concierge setup, extensive benchmarking and premium aftercare.</x:v>
      </x:c>
    </x:row>
    <x:row r="52" ht="34" customHeight="1">
      <x:c r="A52" s="30" t="str">
        <x:v>FF-HPG-03</x:v>
      </x:c>
      <x:c r="B52" s="30" t="str">
        <x:v>Vortex Titan</x:v>
      </x:c>
      <x:c r="C52" s="30" t="str">
        <x:v>High-performance Gaming</x:v>
      </x:c>
      <x:c r="D52" s="30" t="str">
        <x:v>High-end</x:v>
      </x:c>
      <x:c r="E52" s="30" t="str">
        <x:v>Graphics</x:v>
      </x:c>
      <x:c r="F52" s="30" t="str">
        <x:v>NVIDIA GeForce RTX 5090 32GB</x:v>
      </x:c>
      <x:c r="G52" s="31" t="n">
        <x:v>3300</x:v>
      </x:c>
      <x:c r="H52" s="30" t="str">
        <x:v>Indicative UK procurement budget</x:v>
      </x:c>
      <x:c r="I52" s="30" t="str">
        <x:v>A halo build: protect margin with concierge setup, extensive benchmarking and premium aftercare.</x:v>
      </x:c>
    </x:row>
    <x:row r="53" ht="34" customHeight="1">
      <x:c r="A53" s="30" t="str">
        <x:v>FF-HPG-03</x:v>
      </x:c>
      <x:c r="B53" s="30" t="str">
        <x:v>Vortex Titan</x:v>
      </x:c>
      <x:c r="C53" s="30" t="str">
        <x:v>High-performance Gaming</x:v>
      </x:c>
      <x:c r="D53" s="30" t="str">
        <x:v>High-end</x:v>
      </x:c>
      <x:c r="E53" s="30" t="str">
        <x:v>Primary storage</x:v>
      </x:c>
      <x:c r="F53" s="30" t="str">
        <x:v>4TB PCIe 4.0 NVMe SSD</x:v>
      </x:c>
      <x:c r="G53" s="31" t="n">
        <x:v>220</x:v>
      </x:c>
      <x:c r="H53" s="30" t="str">
        <x:v>Indicative UK procurement budget</x:v>
      </x:c>
      <x:c r="I53" s="30" t="str">
        <x:v>A halo build: protect margin with concierge setup, extensive benchmarking and premium aftercare.</x:v>
      </x:c>
    </x:row>
    <x:row r="54" ht="34" customHeight="1">
      <x:c r="A54" s="30" t="str">
        <x:v>FF-HPG-03</x:v>
      </x:c>
      <x:c r="B54" s="30" t="str">
        <x:v>Vortex Titan</x:v>
      </x:c>
      <x:c r="C54" s="30" t="str">
        <x:v>High-performance Gaming</x:v>
      </x:c>
      <x:c r="D54" s="30" t="str">
        <x:v>High-end</x:v>
      </x:c>
      <x:c r="E54" s="30" t="str">
        <x:v>Case</x:v>
      </x:c>
      <x:c r="F54" s="30" t="str">
        <x:v>Fractal Design North XL</x:v>
      </x:c>
      <x:c r="G54" s="31" t="n">
        <x:v>180</x:v>
      </x:c>
      <x:c r="H54" s="30" t="str">
        <x:v>Indicative UK procurement budget</x:v>
      </x:c>
      <x:c r="I54" s="30" t="str">
        <x:v>A halo build: protect margin with concierge setup, extensive benchmarking and premium aftercare.</x:v>
      </x:c>
    </x:row>
    <x:row r="55" ht="34" customHeight="1">
      <x:c r="A55" s="30" t="str">
        <x:v>FF-HPG-03</x:v>
      </x:c>
      <x:c r="B55" s="30" t="str">
        <x:v>Vortex Titan</x:v>
      </x:c>
      <x:c r="C55" s="30" t="str">
        <x:v>High-performance Gaming</x:v>
      </x:c>
      <x:c r="D55" s="30" t="str">
        <x:v>High-end</x:v>
      </x:c>
      <x:c r="E55" s="30" t="str">
        <x:v>Power supply</x:v>
      </x:c>
      <x:c r="F55" s="30" t="str">
        <x:v>Corsair HX1200i 1200W 80+ Platinum</x:v>
      </x:c>
      <x:c r="G55" s="31" t="n">
        <x:v>320</x:v>
      </x:c>
      <x:c r="H55" s="30" t="str">
        <x:v>Indicative UK procurement budget</x:v>
      </x:c>
      <x:c r="I55" s="30" t="str">
        <x:v>A halo build: protect margin with concierge setup, extensive benchmarking and premium aftercare.</x:v>
      </x:c>
    </x:row>
    <x:row r="56" ht="34" customHeight="1">
      <x:c r="A56" s="30" t="str">
        <x:v>FF-HPG-03</x:v>
      </x:c>
      <x:c r="B56" s="30" t="str">
        <x:v>Vortex Titan</x:v>
      </x:c>
      <x:c r="C56" s="30" t="str">
        <x:v>High-performance Gaming</x:v>
      </x:c>
      <x:c r="D56" s="30" t="str">
        <x:v>High-end</x:v>
      </x:c>
      <x:c r="E56" s="30" t="str">
        <x:v>CPU cooling</x:v>
      </x:c>
      <x:c r="F56" s="30" t="str">
        <x:v>Arctic Liquid Freezer III 360</x:v>
      </x:c>
      <x:c r="G56" s="31" t="n">
        <x:v>90</x:v>
      </x:c>
      <x:c r="H56" s="30" t="str">
        <x:v>Indicative UK procurement budget</x:v>
      </x:c>
      <x:c r="I56" s="30" t="str">
        <x:v>A halo build: protect margin with concierge setup, extensive benchmarking and premium aftercare.</x:v>
      </x:c>
    </x:row>
    <x:row r="57" ht="34" customHeight="1">
      <x:c r="A57" s="30" t="str">
        <x:v>FF-HPG-03</x:v>
      </x:c>
      <x:c r="B57" s="30" t="str">
        <x:v>Vortex Titan</x:v>
      </x:c>
      <x:c r="C57" s="30" t="str">
        <x:v>High-performance Gaming</x:v>
      </x:c>
      <x:c r="D57" s="30" t="str">
        <x:v>High-end</x:v>
      </x:c>
      <x:c r="E57" s="30" t="str">
        <x:v>Operating system</x:v>
      </x:c>
      <x:c r="F57" s="30" t="str">
        <x:v>Windows 11 Pro</x:v>
      </x:c>
      <x:c r="G57" s="31" t="n">
        <x:v>0</x:v>
      </x:c>
      <x:c r="H57" s="30" t="str">
        <x:v>Indicative UK procurement budget</x:v>
      </x:c>
      <x:c r="I57" s="30" t="str">
        <x:v>A halo build: protect margin with concierge setup, extensive benchmarking and premium aftercare.</x:v>
      </x:c>
    </x:row>
    <x:row r="58" ht="34" customHeight="1">
      <x:c r="A58" s="30" t="str">
        <x:v>FF-STU-01</x:v>
      </x:c>
      <x:c r="B58" s="30" t="str">
        <x:v>Campus AI Mini</x:v>
      </x:c>
      <x:c r="C58" s="30" t="str">
        <x:v>Student Hybrid</x:v>
      </x:c>
      <x:c r="D58" s="30" t="str">
        <x:v>Budget</x:v>
      </x:c>
      <x:c r="E58" s="30" t="str">
        <x:v>CPU / APU</x:v>
      </x:c>
      <x:c r="F58" s="30" t="str">
        <x:v>AMD Ryzen AI 5 340 (integrated)</x:v>
      </x:c>
      <x:c r="G58" s="31" t="n">
        <x:v>260</x:v>
      </x:c>
      <x:c r="H58" s="30" t="str">
        <x:v>Indicative UK procurement budget</x:v>
      </x:c>
      <x:c r="I58" s="30" t="str">
        <x:v>Ryzen AI chips are soldered mobile/compact-platform processors; sell this as a compact PC, not a DIY tower.</x:v>
      </x:c>
    </x:row>
    <x:row r="59" ht="34" customHeight="1">
      <x:c r="A59" s="30" t="str">
        <x:v>FF-STU-01</x:v>
      </x:c>
      <x:c r="B59" s="30" t="str">
        <x:v>Campus AI Mini</x:v>
      </x:c>
      <x:c r="C59" s="30" t="str">
        <x:v>Student Hybrid</x:v>
      </x:c>
      <x:c r="D59" s="30" t="str">
        <x:v>Budget</x:v>
      </x:c>
      <x:c r="E59" s="30" t="str">
        <x:v>Motherboard</x:v>
      </x:c>
      <x:c r="F59" s="30" t="str">
        <x:v>OEM compact APU mainboard (included)</x:v>
      </x:c>
      <x:c r="G59" s="31" t="n">
        <x:v>0</x:v>
      </x:c>
      <x:c r="H59" s="30" t="str">
        <x:v>Indicative UK procurement budget</x:v>
      </x:c>
      <x:c r="I59" s="30" t="str">
        <x:v>Ryzen AI chips are soldered mobile/compact-platform processors; sell this as a compact PC, not a DIY tower.</x:v>
      </x:c>
    </x:row>
    <x:row r="60" ht="34" customHeight="1">
      <x:c r="A60" s="30" t="str">
        <x:v>FF-STU-01</x:v>
      </x:c>
      <x:c r="B60" s="30" t="str">
        <x:v>Campus AI Mini</x:v>
      </x:c>
      <x:c r="C60" s="30" t="str">
        <x:v>Student Hybrid</x:v>
      </x:c>
      <x:c r="D60" s="30" t="str">
        <x:v>Budget</x:v>
      </x:c>
      <x:c r="E60" s="30" t="str">
        <x:v>Memory</x:v>
      </x:c>
      <x:c r="F60" s="30" t="str">
        <x:v>32GB LPDDR5X</x:v>
      </x:c>
      <x:c r="G60" s="31" t="n">
        <x:v>0</x:v>
      </x:c>
      <x:c r="H60" s="30" t="str">
        <x:v>Indicative UK procurement budget</x:v>
      </x:c>
      <x:c r="I60" s="30" t="str">
        <x:v>Ryzen AI chips are soldered mobile/compact-platform processors; sell this as a compact PC, not a DIY tower.</x:v>
      </x:c>
    </x:row>
    <x:row r="61" ht="34" customHeight="1">
      <x:c r="A61" s="30" t="str">
        <x:v>FF-STU-01</x:v>
      </x:c>
      <x:c r="B61" s="30" t="str">
        <x:v>Campus AI Mini</x:v>
      </x:c>
      <x:c r="C61" s="30" t="str">
        <x:v>Student Hybrid</x:v>
      </x:c>
      <x:c r="D61" s="30" t="str">
        <x:v>Budget</x:v>
      </x:c>
      <x:c r="E61" s="30" t="str">
        <x:v>Graphics</x:v>
      </x:c>
      <x:c r="F61" s="30" t="str">
        <x:v>AMD Radeon 840M integrated</x:v>
      </x:c>
      <x:c r="G61" s="31" t="n">
        <x:v>0</x:v>
      </x:c>
      <x:c r="H61" s="30" t="str">
        <x:v>Indicative UK procurement budget</x:v>
      </x:c>
      <x:c r="I61" s="30" t="str">
        <x:v>Ryzen AI chips are soldered mobile/compact-platform processors; sell this as a compact PC, not a DIY tower.</x:v>
      </x:c>
    </x:row>
    <x:row r="62" ht="34" customHeight="1">
      <x:c r="A62" s="30" t="str">
        <x:v>FF-STU-01</x:v>
      </x:c>
      <x:c r="B62" s="30" t="str">
        <x:v>Campus AI Mini</x:v>
      </x:c>
      <x:c r="C62" s="30" t="str">
        <x:v>Student Hybrid</x:v>
      </x:c>
      <x:c r="D62" s="30" t="str">
        <x:v>Budget</x:v>
      </x:c>
      <x:c r="E62" s="30" t="str">
        <x:v>Primary storage</x:v>
      </x:c>
      <x:c r="F62" s="30" t="str">
        <x:v>1TB PCIe 4.0 NVMe SSD</x:v>
      </x:c>
      <x:c r="G62" s="31" t="n">
        <x:v>60</x:v>
      </x:c>
      <x:c r="H62" s="30" t="str">
        <x:v>Indicative UK procurement budget</x:v>
      </x:c>
      <x:c r="I62" s="30" t="str">
        <x:v>Ryzen AI chips are soldered mobile/compact-platform processors; sell this as a compact PC, not a DIY tower.</x:v>
      </x:c>
    </x:row>
    <x:row r="63" ht="34" customHeight="1">
      <x:c r="A63" s="30" t="str">
        <x:v>FF-STU-01</x:v>
      </x:c>
      <x:c r="B63" s="30" t="str">
        <x:v>Campus AI Mini</x:v>
      </x:c>
      <x:c r="C63" s="30" t="str">
        <x:v>Student Hybrid</x:v>
      </x:c>
      <x:c r="D63" s="30" t="str">
        <x:v>Budget</x:v>
      </x:c>
      <x:c r="E63" s="30" t="str">
        <x:v>Case</x:v>
      </x:c>
      <x:c r="F63" s="30" t="str">
        <x:v>ASUS NUC 14 Pro-style compact chassis</x:v>
      </x:c>
      <x:c r="G63" s="31" t="n">
        <x:v>160</x:v>
      </x:c>
      <x:c r="H63" s="30" t="str">
        <x:v>Indicative UK procurement budget</x:v>
      </x:c>
      <x:c r="I63" s="30" t="str">
        <x:v>Ryzen AI chips are soldered mobile/compact-platform processors; sell this as a compact PC, not a DIY tower.</x:v>
      </x:c>
    </x:row>
    <x:row r="64" ht="34" customHeight="1">
      <x:c r="A64" s="30" t="str">
        <x:v>FF-STU-01</x:v>
      </x:c>
      <x:c r="B64" s="30" t="str">
        <x:v>Campus AI Mini</x:v>
      </x:c>
      <x:c r="C64" s="30" t="str">
        <x:v>Student Hybrid</x:v>
      </x:c>
      <x:c r="D64" s="30" t="str">
        <x:v>Budget</x:v>
      </x:c>
      <x:c r="E64" s="30" t="str">
        <x:v>Power supply</x:v>
      </x:c>
      <x:c r="F64" s="30" t="str">
        <x:v>External 120W power adapter</x:v>
      </x:c>
      <x:c r="G64" s="31" t="n">
        <x:v>0</x:v>
      </x:c>
      <x:c r="H64" s="30" t="str">
        <x:v>Indicative UK procurement budget</x:v>
      </x:c>
      <x:c r="I64" s="30" t="str">
        <x:v>Ryzen AI chips are soldered mobile/compact-platform processors; sell this as a compact PC, not a DIY tower.</x:v>
      </x:c>
    </x:row>
    <x:row r="65" ht="34" customHeight="1">
      <x:c r="A65" s="30" t="str">
        <x:v>FF-STU-01</x:v>
      </x:c>
      <x:c r="B65" s="30" t="str">
        <x:v>Campus AI Mini</x:v>
      </x:c>
      <x:c r="C65" s="30" t="str">
        <x:v>Student Hybrid</x:v>
      </x:c>
      <x:c r="D65" s="30" t="str">
        <x:v>Budget</x:v>
      </x:c>
      <x:c r="E65" s="30" t="str">
        <x:v>CPU cooling</x:v>
      </x:c>
      <x:c r="F65" s="30" t="str">
        <x:v>Integrated low-noise cooling</x:v>
      </x:c>
      <x:c r="G65" s="31" t="n">
        <x:v>0</x:v>
      </x:c>
      <x:c r="H65" s="30" t="str">
        <x:v>Indicative UK procurement budget</x:v>
      </x:c>
      <x:c r="I65" s="30" t="str">
        <x:v>Ryzen AI chips are soldered mobile/compact-platform processors; sell this as a compact PC, not a DIY tower.</x:v>
      </x:c>
    </x:row>
    <x:row r="66" ht="34" customHeight="1">
      <x:c r="A66" s="30" t="str">
        <x:v>FF-STU-01</x:v>
      </x:c>
      <x:c r="B66" s="30" t="str">
        <x:v>Campus AI Mini</x:v>
      </x:c>
      <x:c r="C66" s="30" t="str">
        <x:v>Student Hybrid</x:v>
      </x:c>
      <x:c r="D66" s="30" t="str">
        <x:v>Budget</x:v>
      </x:c>
      <x:c r="E66" s="30" t="str">
        <x:v>Operating system</x:v>
      </x:c>
      <x:c r="F66" s="30" t="str">
        <x:v>Windows 11 Home</x:v>
      </x:c>
      <x:c r="G66" s="31" t="n">
        <x:v>0</x:v>
      </x:c>
      <x:c r="H66" s="30" t="str">
        <x:v>Indicative UK procurement budget</x:v>
      </x:c>
      <x:c r="I66" s="30" t="str">
        <x:v>Ryzen AI chips are soldered mobile/compact-platform processors; sell this as a compact PC, not a DIY tower.</x:v>
      </x:c>
    </x:row>
    <x:row r="67" ht="34" customHeight="1">
      <x:c r="A67" s="30" t="str">
        <x:v>FF-STU-02</x:v>
      </x:c>
      <x:c r="B67" s="30" t="str">
        <x:v>Campus Studio</x:v>
      </x:c>
      <x:c r="C67" s="30" t="str">
        <x:v>Student Hybrid</x:v>
      </x:c>
      <x:c r="D67" s="30" t="str">
        <x:v>Mid-range</x:v>
      </x:c>
      <x:c r="E67" s="30" t="str">
        <x:v>CPU / APU</x:v>
      </x:c>
      <x:c r="F67" s="30" t="str">
        <x:v>AMD Ryzen 5 9600X</x:v>
      </x:c>
      <x:c r="G67" s="31" t="n">
        <x:v>205</x:v>
      </x:c>
      <x:c r="H67" s="30" t="str">
        <x:v>Indicative UK procurement budget</x:v>
      </x:c>
      <x:c r="I67" s="30" t="str">
        <x:v>A non-NVIDIA alternative that keeps the total achievable for students.</x:v>
      </x:c>
    </x:row>
    <x:row r="68" ht="34" customHeight="1">
      <x:c r="A68" s="30" t="str">
        <x:v>FF-STU-02</x:v>
      </x:c>
      <x:c r="B68" s="30" t="str">
        <x:v>Campus Studio</x:v>
      </x:c>
      <x:c r="C68" s="30" t="str">
        <x:v>Student Hybrid</x:v>
      </x:c>
      <x:c r="D68" s="30" t="str">
        <x:v>Mid-range</x:v>
      </x:c>
      <x:c r="E68" s="30" t="str">
        <x:v>Motherboard</x:v>
      </x:c>
      <x:c r="F68" s="30" t="str">
        <x:v>MSI B850 GAMING PLUS WIFI</x:v>
      </x:c>
      <x:c r="G68" s="31" t="n">
        <x:v>165</x:v>
      </x:c>
      <x:c r="H68" s="30" t="str">
        <x:v>Indicative UK procurement budget</x:v>
      </x:c>
      <x:c r="I68" s="30" t="str">
        <x:v>A non-NVIDIA alternative that keeps the total achievable for students.</x:v>
      </x:c>
    </x:row>
    <x:row r="69" ht="34" customHeight="1">
      <x:c r="A69" s="30" t="str">
        <x:v>FF-STU-02</x:v>
      </x:c>
      <x:c r="B69" s="30" t="str">
        <x:v>Campus Studio</x:v>
      </x:c>
      <x:c r="C69" s="30" t="str">
        <x:v>Student Hybrid</x:v>
      </x:c>
      <x:c r="D69" s="30" t="str">
        <x:v>Mid-range</x:v>
      </x:c>
      <x:c r="E69" s="30" t="str">
        <x:v>Memory</x:v>
      </x:c>
      <x:c r="F69" s="30" t="str">
        <x:v>32GB (2x16GB) DDR5-6000 CL30</x:v>
      </x:c>
      <x:c r="G69" s="31" t="n">
        <x:v>115</x:v>
      </x:c>
      <x:c r="H69" s="30" t="str">
        <x:v>Indicative UK procurement budget</x:v>
      </x:c>
      <x:c r="I69" s="30" t="str">
        <x:v>A non-NVIDIA alternative that keeps the total achievable for students.</x:v>
      </x:c>
    </x:row>
    <x:row r="70" ht="34" customHeight="1">
      <x:c r="A70" s="30" t="str">
        <x:v>FF-STU-02</x:v>
      </x:c>
      <x:c r="B70" s="30" t="str">
        <x:v>Campus Studio</x:v>
      </x:c>
      <x:c r="C70" s="30" t="str">
        <x:v>Student Hybrid</x:v>
      </x:c>
      <x:c r="D70" s="30" t="str">
        <x:v>Mid-range</x:v>
      </x:c>
      <x:c r="E70" s="30" t="str">
        <x:v>Graphics</x:v>
      </x:c>
      <x:c r="F70" s="30" t="str">
        <x:v>Intel Arc B580 12GB</x:v>
      </x:c>
      <x:c r="G70" s="31" t="n">
        <x:v>250</x:v>
      </x:c>
      <x:c r="H70" s="30" t="str">
        <x:v>Indicative UK procurement budget</x:v>
      </x:c>
      <x:c r="I70" s="30" t="str">
        <x:v>A non-NVIDIA alternative that keeps the total achievable for students.</x:v>
      </x:c>
    </x:row>
    <x:row r="71" ht="34" customHeight="1">
      <x:c r="A71" s="30" t="str">
        <x:v>FF-STU-02</x:v>
      </x:c>
      <x:c r="B71" s="30" t="str">
        <x:v>Campus Studio</x:v>
      </x:c>
      <x:c r="C71" s="30" t="str">
        <x:v>Student Hybrid</x:v>
      </x:c>
      <x:c r="D71" s="30" t="str">
        <x:v>Mid-range</x:v>
      </x:c>
      <x:c r="E71" s="30" t="str">
        <x:v>Primary storage</x:v>
      </x:c>
      <x:c r="F71" s="30" t="str">
        <x:v>2TB PCIe 4.0 NVMe SSD</x:v>
      </x:c>
      <x:c r="G71" s="31" t="n">
        <x:v>110</x:v>
      </x:c>
      <x:c r="H71" s="30" t="str">
        <x:v>Indicative UK procurement budget</x:v>
      </x:c>
      <x:c r="I71" s="30" t="str">
        <x:v>A non-NVIDIA alternative that keeps the total achievable for students.</x:v>
      </x:c>
    </x:row>
    <x:row r="72" ht="34" customHeight="1">
      <x:c r="A72" s="30" t="str">
        <x:v>FF-STU-02</x:v>
      </x:c>
      <x:c r="B72" s="30" t="str">
        <x:v>Campus Studio</x:v>
      </x:c>
      <x:c r="C72" s="30" t="str">
        <x:v>Student Hybrid</x:v>
      </x:c>
      <x:c r="D72" s="30" t="str">
        <x:v>Mid-range</x:v>
      </x:c>
      <x:c r="E72" s="30" t="str">
        <x:v>Case</x:v>
      </x:c>
      <x:c r="F72" s="30" t="str">
        <x:v>Fractal Design Pop Air</x:v>
      </x:c>
      <x:c r="G72" s="31" t="n">
        <x:v>75</x:v>
      </x:c>
      <x:c r="H72" s="30" t="str">
        <x:v>Indicative UK procurement budget</x:v>
      </x:c>
      <x:c r="I72" s="30" t="str">
        <x:v>A non-NVIDIA alternative that keeps the total achievable for students.</x:v>
      </x:c>
    </x:row>
    <x:row r="73" ht="34" customHeight="1">
      <x:c r="A73" s="30" t="str">
        <x:v>FF-STU-02</x:v>
      </x:c>
      <x:c r="B73" s="30" t="str">
        <x:v>Campus Studio</x:v>
      </x:c>
      <x:c r="C73" s="30" t="str">
        <x:v>Student Hybrid</x:v>
      </x:c>
      <x:c r="D73" s="30" t="str">
        <x:v>Mid-range</x:v>
      </x:c>
      <x:c r="E73" s="30" t="str">
        <x:v>Power supply</x:v>
      </x:c>
      <x:c r="F73" s="30" t="str">
        <x:v>Corsair RM650e 650W 80+ Gold</x:v>
      </x:c>
      <x:c r="G73" s="31" t="n">
        <x:v>85</x:v>
      </x:c>
      <x:c r="H73" s="30" t="str">
        <x:v>Indicative UK procurement budget</x:v>
      </x:c>
      <x:c r="I73" s="30" t="str">
        <x:v>A non-NVIDIA alternative that keeps the total achievable for students.</x:v>
      </x:c>
    </x:row>
    <x:row r="74" ht="34" customHeight="1">
      <x:c r="A74" s="30" t="str">
        <x:v>FF-STU-02</x:v>
      </x:c>
      <x:c r="B74" s="30" t="str">
        <x:v>Campus Studio</x:v>
      </x:c>
      <x:c r="C74" s="30" t="str">
        <x:v>Student Hybrid</x:v>
      </x:c>
      <x:c r="D74" s="30" t="str">
        <x:v>Mid-range</x:v>
      </x:c>
      <x:c r="E74" s="30" t="str">
        <x:v>CPU cooling</x:v>
      </x:c>
      <x:c r="F74" s="30" t="str">
        <x:v>Thermalright Assassin X 120 SE</x:v>
      </x:c>
      <x:c r="G74" s="31" t="n">
        <x:v>20</x:v>
      </x:c>
      <x:c r="H74" s="30" t="str">
        <x:v>Indicative UK procurement budget</x:v>
      </x:c>
      <x:c r="I74" s="30" t="str">
        <x:v>A non-NVIDIA alternative that keeps the total achievable for students.</x:v>
      </x:c>
    </x:row>
    <x:row r="75" ht="34" customHeight="1">
      <x:c r="A75" s="30" t="str">
        <x:v>FF-STU-02</x:v>
      </x:c>
      <x:c r="B75" s="30" t="str">
        <x:v>Campus Studio</x:v>
      </x:c>
      <x:c r="C75" s="30" t="str">
        <x:v>Student Hybrid</x:v>
      </x:c>
      <x:c r="D75" s="30" t="str">
        <x:v>Mid-range</x:v>
      </x:c>
      <x:c r="E75" s="30" t="str">
        <x:v>Operating system</x:v>
      </x:c>
      <x:c r="F75" s="30" t="str">
        <x:v>Windows 11 Home</x:v>
      </x:c>
      <x:c r="G75" s="31" t="n">
        <x:v>0</x:v>
      </x:c>
      <x:c r="H75" s="30" t="str">
        <x:v>Indicative UK procurement budget</x:v>
      </x:c>
      <x:c r="I75" s="30" t="str">
        <x:v>A non-NVIDIA alternative that keeps the total achievable for students.</x:v>
      </x:c>
    </x:row>
    <x:row r="76" ht="34" customHeight="1">
      <x:c r="A76" s="30" t="str">
        <x:v>FF-STU-03</x:v>
      </x:c>
      <x:c r="B76" s="30" t="str">
        <x:v>Campus Pro</x:v>
      </x:c>
      <x:c r="C76" s="30" t="str">
        <x:v>Student Hybrid</x:v>
      </x:c>
      <x:c r="D76" s="30" t="str">
        <x:v>High-end</x:v>
      </x:c>
      <x:c r="E76" s="30" t="str">
        <x:v>CPU / APU</x:v>
      </x:c>
      <x:c r="F76" s="30" t="str">
        <x:v>Intel Core Ultra 7 270K Plus</x:v>
      </x:c>
      <x:c r="G76" s="31" t="n">
        <x:v>320</x:v>
      </x:c>
      <x:c r="H76" s="30" t="str">
        <x:v>Indicative UK procurement budget</x:v>
      </x:c>
      <x:c r="I76" s="30" t="str">
        <x:v>Position as the 'take me through the whole degree' machine.</x:v>
      </x:c>
    </x:row>
    <x:row r="77" ht="34" customHeight="1">
      <x:c r="A77" s="30" t="str">
        <x:v>FF-STU-03</x:v>
      </x:c>
      <x:c r="B77" s="30" t="str">
        <x:v>Campus Pro</x:v>
      </x:c>
      <x:c r="C77" s="30" t="str">
        <x:v>Student Hybrid</x:v>
      </x:c>
      <x:c r="D77" s="30" t="str">
        <x:v>High-end</x:v>
      </x:c>
      <x:c r="E77" s="30" t="str">
        <x:v>Motherboard</x:v>
      </x:c>
      <x:c r="F77" s="30" t="str">
        <x:v>ASUS TUF GAMING Z890-PLUS WIFI</x:v>
      </x:c>
      <x:c r="G77" s="31" t="n">
        <x:v>250</x:v>
      </x:c>
      <x:c r="H77" s="30" t="str">
        <x:v>Indicative UK procurement budget</x:v>
      </x:c>
      <x:c r="I77" s="30" t="str">
        <x:v>Position as the 'take me through the whole degree' machine.</x:v>
      </x:c>
    </x:row>
    <x:row r="78" ht="34" customHeight="1">
      <x:c r="A78" s="30" t="str">
        <x:v>FF-STU-03</x:v>
      </x:c>
      <x:c r="B78" s="30" t="str">
        <x:v>Campus Pro</x:v>
      </x:c>
      <x:c r="C78" s="30" t="str">
        <x:v>Student Hybrid</x:v>
      </x:c>
      <x:c r="D78" s="30" t="str">
        <x:v>High-end</x:v>
      </x:c>
      <x:c r="E78" s="30" t="str">
        <x:v>Memory</x:v>
      </x:c>
      <x:c r="F78" s="30" t="str">
        <x:v>64GB (2x32GB) DDR5-6400</x:v>
      </x:c>
      <x:c r="G78" s="31" t="n">
        <x:v>260</x:v>
      </x:c>
      <x:c r="H78" s="30" t="str">
        <x:v>Indicative UK procurement budget</x:v>
      </x:c>
      <x:c r="I78" s="30" t="str">
        <x:v>Position as the 'take me through the whole degree' machine.</x:v>
      </x:c>
    </x:row>
    <x:row r="79" ht="34" customHeight="1">
      <x:c r="A79" s="30" t="str">
        <x:v>FF-STU-03</x:v>
      </x:c>
      <x:c r="B79" s="30" t="str">
        <x:v>Campus Pro</x:v>
      </x:c>
      <x:c r="C79" s="30" t="str">
        <x:v>Student Hybrid</x:v>
      </x:c>
      <x:c r="D79" s="30" t="str">
        <x:v>High-end</x:v>
      </x:c>
      <x:c r="E79" s="30" t="str">
        <x:v>Graphics</x:v>
      </x:c>
      <x:c r="F79" s="30" t="str">
        <x:v>NVIDIA GeForce RTX 5070 Ti 16GB</x:v>
      </x:c>
      <x:c r="G79" s="31" t="n">
        <x:v>950</x:v>
      </x:c>
      <x:c r="H79" s="30" t="str">
        <x:v>Indicative UK procurement budget</x:v>
      </x:c>
      <x:c r="I79" s="30" t="str">
        <x:v>Position as the 'take me through the whole degree' machine.</x:v>
      </x:c>
    </x:row>
    <x:row r="80" ht="34" customHeight="1">
      <x:c r="A80" s="30" t="str">
        <x:v>FF-STU-03</x:v>
      </x:c>
      <x:c r="B80" s="30" t="str">
        <x:v>Campus Pro</x:v>
      </x:c>
      <x:c r="C80" s="30" t="str">
        <x:v>Student Hybrid</x:v>
      </x:c>
      <x:c r="D80" s="30" t="str">
        <x:v>High-end</x:v>
      </x:c>
      <x:c r="E80" s="30" t="str">
        <x:v>Primary storage</x:v>
      </x:c>
      <x:c r="F80" s="30" t="str">
        <x:v>2TB PCIe 4.0 NVMe SSD</x:v>
      </x:c>
      <x:c r="G80" s="31" t="n">
        <x:v>110</x:v>
      </x:c>
      <x:c r="H80" s="30" t="str">
        <x:v>Indicative UK procurement budget</x:v>
      </x:c>
      <x:c r="I80" s="30" t="str">
        <x:v>Position as the 'take me through the whole degree' machine.</x:v>
      </x:c>
    </x:row>
    <x:row r="81" ht="34" customHeight="1">
      <x:c r="A81" s="30" t="str">
        <x:v>FF-STU-03</x:v>
      </x:c>
      <x:c r="B81" s="30" t="str">
        <x:v>Campus Pro</x:v>
      </x:c>
      <x:c r="C81" s="30" t="str">
        <x:v>Student Hybrid</x:v>
      </x:c>
      <x:c r="D81" s="30" t="str">
        <x:v>High-end</x:v>
      </x:c>
      <x:c r="E81" s="30" t="str">
        <x:v>Case</x:v>
      </x:c>
      <x:c r="F81" s="30" t="str">
        <x:v>Lian Li LANCOOL 207</x:v>
      </x:c>
      <x:c r="G81" s="31" t="n">
        <x:v>85</x:v>
      </x:c>
      <x:c r="H81" s="30" t="str">
        <x:v>Indicative UK procurement budget</x:v>
      </x:c>
      <x:c r="I81" s="30" t="str">
        <x:v>Position as the 'take me through the whole degree' machine.</x:v>
      </x:c>
    </x:row>
    <x:row r="82" ht="34" customHeight="1">
      <x:c r="A82" s="30" t="str">
        <x:v>FF-STU-03</x:v>
      </x:c>
      <x:c r="B82" s="30" t="str">
        <x:v>Campus Pro</x:v>
      </x:c>
      <x:c r="C82" s="30" t="str">
        <x:v>Student Hybrid</x:v>
      </x:c>
      <x:c r="D82" s="30" t="str">
        <x:v>High-end</x:v>
      </x:c>
      <x:c r="E82" s="30" t="str">
        <x:v>Power supply</x:v>
      </x:c>
      <x:c r="F82" s="30" t="str">
        <x:v>Corsair RM850e 850W 80+ Gold</x:v>
      </x:c>
      <x:c r="G82" s="31" t="n">
        <x:v>120</x:v>
      </x:c>
      <x:c r="H82" s="30" t="str">
        <x:v>Indicative UK procurement budget</x:v>
      </x:c>
      <x:c r="I82" s="30" t="str">
        <x:v>Position as the 'take me through the whole degree' machine.</x:v>
      </x:c>
    </x:row>
    <x:row r="83" ht="34" customHeight="1">
      <x:c r="A83" s="30" t="str">
        <x:v>FF-STU-03</x:v>
      </x:c>
      <x:c r="B83" s="30" t="str">
        <x:v>Campus Pro</x:v>
      </x:c>
      <x:c r="C83" s="30" t="str">
        <x:v>Student Hybrid</x:v>
      </x:c>
      <x:c r="D83" s="30" t="str">
        <x:v>High-end</x:v>
      </x:c>
      <x:c r="E83" s="30" t="str">
        <x:v>CPU cooling</x:v>
      </x:c>
      <x:c r="F83" s="30" t="str">
        <x:v>Arctic Liquid Freezer III 240</x:v>
      </x:c>
      <x:c r="G83" s="31" t="n">
        <x:v>70</x:v>
      </x:c>
      <x:c r="H83" s="30" t="str">
        <x:v>Indicative UK procurement budget</x:v>
      </x:c>
      <x:c r="I83" s="30" t="str">
        <x:v>Position as the 'take me through the whole degree' machine.</x:v>
      </x:c>
    </x:row>
    <x:row r="84" ht="34" customHeight="1">
      <x:c r="A84" s="30" t="str">
        <x:v>FF-STU-03</x:v>
      </x:c>
      <x:c r="B84" s="30" t="str">
        <x:v>Campus Pro</x:v>
      </x:c>
      <x:c r="C84" s="30" t="str">
        <x:v>Student Hybrid</x:v>
      </x:c>
      <x:c r="D84" s="30" t="str">
        <x:v>High-end</x:v>
      </x:c>
      <x:c r="E84" s="30" t="str">
        <x:v>Operating system</x:v>
      </x:c>
      <x:c r="F84" s="30" t="str">
        <x:v>Windows 11 Home</x:v>
      </x:c>
      <x:c r="G84" s="31" t="n">
        <x:v>0</x:v>
      </x:c>
      <x:c r="H84" s="30" t="str">
        <x:v>Indicative UK procurement budget</x:v>
      </x:c>
      <x:c r="I84" s="30" t="str">
        <x:v>Position as the 'take me through the whole degree' machine.</x:v>
      </x:c>
    </x:row>
    <x:row r="85" ht="34" customHeight="1">
      <x:c r="A85" s="30" t="str">
        <x:v>FF-BOF-01</x:v>
      </x:c>
      <x:c r="B85" s="30" t="str">
        <x:v>Deskwise Essential</x:v>
      </x:c>
      <x:c r="C85" s="30" t="str">
        <x:v>Business &amp; Office</x:v>
      </x:c>
      <x:c r="D85" s="30" t="str">
        <x:v>Budget</x:v>
      </x:c>
      <x:c r="E85" s="30" t="str">
        <x:v>CPU / APU</x:v>
      </x:c>
      <x:c r="F85" s="30" t="str">
        <x:v>AMD Ryzen 5 5600G</x:v>
      </x:c>
      <x:c r="G85" s="31" t="n">
        <x:v>105</x:v>
      </x:c>
      <x:c r="H85" s="30" t="str">
        <x:v>Indicative UK procurement budget</x:v>
      </x:c>
      <x:c r="I85" s="30" t="str">
        <x:v>Use a simple black, quiet build with 3-year support options.</x:v>
      </x:c>
    </x:row>
    <x:row r="86" ht="34" customHeight="1">
      <x:c r="A86" s="30" t="str">
        <x:v>FF-BOF-01</x:v>
      </x:c>
      <x:c r="B86" s="30" t="str">
        <x:v>Deskwise Essential</x:v>
      </x:c>
      <x:c r="C86" s="30" t="str">
        <x:v>Business &amp; Office</x:v>
      </x:c>
      <x:c r="D86" s="30" t="str">
        <x:v>Budget</x:v>
      </x:c>
      <x:c r="E86" s="30" t="str">
        <x:v>Motherboard</x:v>
      </x:c>
      <x:c r="F86" s="30" t="str">
        <x:v>MSI B550M PRO-VDH WIFI</x:v>
      </x:c>
      <x:c r="G86" s="31" t="n">
        <x:v>95</x:v>
      </x:c>
      <x:c r="H86" s="30" t="str">
        <x:v>Indicative UK procurement budget</x:v>
      </x:c>
      <x:c r="I86" s="30" t="str">
        <x:v>Use a simple black, quiet build with 3-year support options.</x:v>
      </x:c>
    </x:row>
    <x:row r="87" ht="34" customHeight="1">
      <x:c r="A87" s="30" t="str">
        <x:v>FF-BOF-01</x:v>
      </x:c>
      <x:c r="B87" s="30" t="str">
        <x:v>Deskwise Essential</x:v>
      </x:c>
      <x:c r="C87" s="30" t="str">
        <x:v>Business &amp; Office</x:v>
      </x:c>
      <x:c r="D87" s="30" t="str">
        <x:v>Budget</x:v>
      </x:c>
      <x:c r="E87" s="30" t="str">
        <x:v>Memory</x:v>
      </x:c>
      <x:c r="F87" s="30" t="str">
        <x:v>32GB (2x16GB) DDR4-3200</x:v>
      </x:c>
      <x:c r="G87" s="31" t="n">
        <x:v>55</x:v>
      </x:c>
      <x:c r="H87" s="30" t="str">
        <x:v>Indicative UK procurement budget</x:v>
      </x:c>
      <x:c r="I87" s="30" t="str">
        <x:v>Use a simple black, quiet build with 3-year support options.</x:v>
      </x:c>
    </x:row>
    <x:row r="88" ht="34" customHeight="1">
      <x:c r="A88" s="30" t="str">
        <x:v>FF-BOF-01</x:v>
      </x:c>
      <x:c r="B88" s="30" t="str">
        <x:v>Deskwise Essential</x:v>
      </x:c>
      <x:c r="C88" s="30" t="str">
        <x:v>Business &amp; Office</x:v>
      </x:c>
      <x:c r="D88" s="30" t="str">
        <x:v>Budget</x:v>
      </x:c>
      <x:c r="E88" s="30" t="str">
        <x:v>Graphics</x:v>
      </x:c>
      <x:c r="F88" s="30" t="str">
        <x:v>Radeon Vega integrated</x:v>
      </x:c>
      <x:c r="G88" s="31" t="n">
        <x:v>0</x:v>
      </x:c>
      <x:c r="H88" s="30" t="str">
        <x:v>Indicative UK procurement budget</x:v>
      </x:c>
      <x:c r="I88" s="30" t="str">
        <x:v>Use a simple black, quiet build with 3-year support options.</x:v>
      </x:c>
    </x:row>
    <x:row r="89" ht="34" customHeight="1">
      <x:c r="A89" s="30" t="str">
        <x:v>FF-BOF-01</x:v>
      </x:c>
      <x:c r="B89" s="30" t="str">
        <x:v>Deskwise Essential</x:v>
      </x:c>
      <x:c r="C89" s="30" t="str">
        <x:v>Business &amp; Office</x:v>
      </x:c>
      <x:c r="D89" s="30" t="str">
        <x:v>Budget</x:v>
      </x:c>
      <x:c r="E89" s="30" t="str">
        <x:v>Primary storage</x:v>
      </x:c>
      <x:c r="F89" s="30" t="str">
        <x:v>1TB PCIe 4.0 NVMe SSD</x:v>
      </x:c>
      <x:c r="G89" s="31" t="n">
        <x:v>60</x:v>
      </x:c>
      <x:c r="H89" s="30" t="str">
        <x:v>Indicative UK procurement budget</x:v>
      </x:c>
      <x:c r="I89" s="30" t="str">
        <x:v>Use a simple black, quiet build with 3-year support options.</x:v>
      </x:c>
    </x:row>
    <x:row r="90" ht="34" customHeight="1">
      <x:c r="A90" s="30" t="str">
        <x:v>FF-BOF-01</x:v>
      </x:c>
      <x:c r="B90" s="30" t="str">
        <x:v>Deskwise Essential</x:v>
      </x:c>
      <x:c r="C90" s="30" t="str">
        <x:v>Business &amp; Office</x:v>
      </x:c>
      <x:c r="D90" s="30" t="str">
        <x:v>Budget</x:v>
      </x:c>
      <x:c r="E90" s="30" t="str">
        <x:v>Case</x:v>
      </x:c>
      <x:c r="F90" s="30" t="str">
        <x:v>Fractal Design Core 1100</x:v>
      </x:c>
      <x:c r="G90" s="31" t="n">
        <x:v>45</x:v>
      </x:c>
      <x:c r="H90" s="30" t="str">
        <x:v>Indicative UK procurement budget</x:v>
      </x:c>
      <x:c r="I90" s="30" t="str">
        <x:v>Use a simple black, quiet build with 3-year support options.</x:v>
      </x:c>
    </x:row>
    <x:row r="91" ht="34" customHeight="1">
      <x:c r="A91" s="30" t="str">
        <x:v>FF-BOF-01</x:v>
      </x:c>
      <x:c r="B91" s="30" t="str">
        <x:v>Deskwise Essential</x:v>
      </x:c>
      <x:c r="C91" s="30" t="str">
        <x:v>Business &amp; Office</x:v>
      </x:c>
      <x:c r="D91" s="30" t="str">
        <x:v>Budget</x:v>
      </x:c>
      <x:c r="E91" s="30" t="str">
        <x:v>Power supply</x:v>
      </x:c>
      <x:c r="F91" s="30" t="str">
        <x:v>Corsair CX550 550W 80+ Bronze</x:v>
      </x:c>
      <x:c r="G91" s="31" t="n">
        <x:v>55</x:v>
      </x:c>
      <x:c r="H91" s="30" t="str">
        <x:v>Indicative UK procurement budget</x:v>
      </x:c>
      <x:c r="I91" s="30" t="str">
        <x:v>Use a simple black, quiet build with 3-year support options.</x:v>
      </x:c>
    </x:row>
    <x:row r="92" ht="34" customHeight="1">
      <x:c r="A92" s="30" t="str">
        <x:v>FF-BOF-01</x:v>
      </x:c>
      <x:c r="B92" s="30" t="str">
        <x:v>Deskwise Essential</x:v>
      </x:c>
      <x:c r="C92" s="30" t="str">
        <x:v>Business &amp; Office</x:v>
      </x:c>
      <x:c r="D92" s="30" t="str">
        <x:v>Budget</x:v>
      </x:c>
      <x:c r="E92" s="30" t="str">
        <x:v>CPU cooling</x:v>
      </x:c>
      <x:c r="F92" s="30" t="str">
        <x:v>AMD Wraith Stealth</x:v>
      </x:c>
      <x:c r="G92" s="31" t="n">
        <x:v>0</x:v>
      </x:c>
      <x:c r="H92" s="30" t="str">
        <x:v>Indicative UK procurement budget</x:v>
      </x:c>
      <x:c r="I92" s="30" t="str">
        <x:v>Use a simple black, quiet build with 3-year support options.</x:v>
      </x:c>
    </x:row>
    <x:row r="93" ht="34" customHeight="1">
      <x:c r="A93" s="30" t="str">
        <x:v>FF-BOF-01</x:v>
      </x:c>
      <x:c r="B93" s="30" t="str">
        <x:v>Deskwise Essential</x:v>
      </x:c>
      <x:c r="C93" s="30" t="str">
        <x:v>Business &amp; Office</x:v>
      </x:c>
      <x:c r="D93" s="30" t="str">
        <x:v>Budget</x:v>
      </x:c>
      <x:c r="E93" s="30" t="str">
        <x:v>Operating system</x:v>
      </x:c>
      <x:c r="F93" s="30" t="str">
        <x:v>Windows 11 Pro</x:v>
      </x:c>
      <x:c r="G93" s="31" t="n">
        <x:v>0</x:v>
      </x:c>
      <x:c r="H93" s="30" t="str">
        <x:v>Indicative UK procurement budget</x:v>
      </x:c>
      <x:c r="I93" s="30" t="str">
        <x:v>Use a simple black, quiet build with 3-year support options.</x:v>
      </x:c>
    </x:row>
    <x:row r="94" ht="34" customHeight="1">
      <x:c r="A94" s="30" t="str">
        <x:v>FF-BOF-02</x:v>
      </x:c>
      <x:c r="B94" s="30" t="str">
        <x:v>Deskwise Pro</x:v>
      </x:c>
      <x:c r="C94" s="30" t="str">
        <x:v>Business &amp; Office</x:v>
      </x:c>
      <x:c r="D94" s="30" t="str">
        <x:v>Mid-range</x:v>
      </x:c>
      <x:c r="E94" s="30" t="str">
        <x:v>CPU / APU</x:v>
      </x:c>
      <x:c r="F94" s="30" t="str">
        <x:v>Intel Core Ultra 5 250K Plus</x:v>
      </x:c>
      <x:c r="G94" s="31" t="n">
        <x:v>215</x:v>
      </x:c>
      <x:c r="H94" s="30" t="str">
        <x:v>Indicative UK procurement budget</x:v>
      </x:c>
      <x:c r="I94" s="30" t="str">
        <x:v>Emphasise quiet acoustics, 2TB storage and business-ready Windows Pro.</x:v>
      </x:c>
    </x:row>
    <x:row r="95" ht="34" customHeight="1">
      <x:c r="A95" s="30" t="str">
        <x:v>FF-BOF-02</x:v>
      </x:c>
      <x:c r="B95" s="30" t="str">
        <x:v>Deskwise Pro</x:v>
      </x:c>
      <x:c r="C95" s="30" t="str">
        <x:v>Business &amp; Office</x:v>
      </x:c>
      <x:c r="D95" s="30" t="str">
        <x:v>Mid-range</x:v>
      </x:c>
      <x:c r="E95" s="30" t="str">
        <x:v>Motherboard</x:v>
      </x:c>
      <x:c r="F95" s="30" t="str">
        <x:v>ASUS Pro Q870M-C-CSM</x:v>
      </x:c>
      <x:c r="G95" s="31" t="n">
        <x:v>220</x:v>
      </x:c>
      <x:c r="H95" s="30" t="str">
        <x:v>Indicative UK procurement budget</x:v>
      </x:c>
      <x:c r="I95" s="30" t="str">
        <x:v>Emphasise quiet acoustics, 2TB storage and business-ready Windows Pro.</x:v>
      </x:c>
    </x:row>
    <x:row r="96" ht="34" customHeight="1">
      <x:c r="A96" s="30" t="str">
        <x:v>FF-BOF-02</x:v>
      </x:c>
      <x:c r="B96" s="30" t="str">
        <x:v>Deskwise Pro</x:v>
      </x:c>
      <x:c r="C96" s="30" t="str">
        <x:v>Business &amp; Office</x:v>
      </x:c>
      <x:c r="D96" s="30" t="str">
        <x:v>Mid-range</x:v>
      </x:c>
      <x:c r="E96" s="30" t="str">
        <x:v>Memory</x:v>
      </x:c>
      <x:c r="F96" s="30" t="str">
        <x:v>32GB (2x16GB) DDR5-6400</x:v>
      </x:c>
      <x:c r="G96" s="31" t="n">
        <x:v>140</x:v>
      </x:c>
      <x:c r="H96" s="30" t="str">
        <x:v>Indicative UK procurement budget</x:v>
      </x:c>
      <x:c r="I96" s="30" t="str">
        <x:v>Emphasise quiet acoustics, 2TB storage and business-ready Windows Pro.</x:v>
      </x:c>
    </x:row>
    <x:row r="97" ht="34" customHeight="1">
      <x:c r="A97" s="30" t="str">
        <x:v>FF-BOF-02</x:v>
      </x:c>
      <x:c r="B97" s="30" t="str">
        <x:v>Deskwise Pro</x:v>
      </x:c>
      <x:c r="C97" s="30" t="str">
        <x:v>Business &amp; Office</x:v>
      </x:c>
      <x:c r="D97" s="30" t="str">
        <x:v>Mid-range</x:v>
      </x:c>
      <x:c r="E97" s="30" t="str">
        <x:v>Graphics</x:v>
      </x:c>
      <x:c r="F97" s="30" t="str">
        <x:v>Intel integrated graphics</x:v>
      </x:c>
      <x:c r="G97" s="31" t="n">
        <x:v>0</x:v>
      </x:c>
      <x:c r="H97" s="30" t="str">
        <x:v>Indicative UK procurement budget</x:v>
      </x:c>
      <x:c r="I97" s="30" t="str">
        <x:v>Emphasise quiet acoustics, 2TB storage and business-ready Windows Pro.</x:v>
      </x:c>
    </x:row>
    <x:row r="98" ht="34" customHeight="1">
      <x:c r="A98" s="30" t="str">
        <x:v>FF-BOF-02</x:v>
      </x:c>
      <x:c r="B98" s="30" t="str">
        <x:v>Deskwise Pro</x:v>
      </x:c>
      <x:c r="C98" s="30" t="str">
        <x:v>Business &amp; Office</x:v>
      </x:c>
      <x:c r="D98" s="30" t="str">
        <x:v>Mid-range</x:v>
      </x:c>
      <x:c r="E98" s="30" t="str">
        <x:v>Primary storage</x:v>
      </x:c>
      <x:c r="F98" s="30" t="str">
        <x:v>2TB PCIe 4.0 NVMe SSD</x:v>
      </x:c>
      <x:c r="G98" s="31" t="n">
        <x:v>110</x:v>
      </x:c>
      <x:c r="H98" s="30" t="str">
        <x:v>Indicative UK procurement budget</x:v>
      </x:c>
      <x:c r="I98" s="30" t="str">
        <x:v>Emphasise quiet acoustics, 2TB storage and business-ready Windows Pro.</x:v>
      </x:c>
    </x:row>
    <x:row r="99" ht="34" customHeight="1">
      <x:c r="A99" s="30" t="str">
        <x:v>FF-BOF-02</x:v>
      </x:c>
      <x:c r="B99" s="30" t="str">
        <x:v>Deskwise Pro</x:v>
      </x:c>
      <x:c r="C99" s="30" t="str">
        <x:v>Business &amp; Office</x:v>
      </x:c>
      <x:c r="D99" s="30" t="str">
        <x:v>Mid-range</x:v>
      </x:c>
      <x:c r="E99" s="30" t="str">
        <x:v>Case</x:v>
      </x:c>
      <x:c r="F99" s="30" t="str">
        <x:v>Fractal Design Define 7 Compact</x:v>
      </x:c>
      <x:c r="G99" s="31" t="n">
        <x:v>120</x:v>
      </x:c>
      <x:c r="H99" s="30" t="str">
        <x:v>Indicative UK procurement budget</x:v>
      </x:c>
      <x:c r="I99" s="30" t="str">
        <x:v>Emphasise quiet acoustics, 2TB storage and business-ready Windows Pro.</x:v>
      </x:c>
    </x:row>
    <x:row r="100" ht="34" customHeight="1">
      <x:c r="A100" s="30" t="str">
        <x:v>FF-BOF-02</x:v>
      </x:c>
      <x:c r="B100" s="30" t="str">
        <x:v>Deskwise Pro</x:v>
      </x:c>
      <x:c r="C100" s="30" t="str">
        <x:v>Business &amp; Office</x:v>
      </x:c>
      <x:c r="D100" s="30" t="str">
        <x:v>Mid-range</x:v>
      </x:c>
      <x:c r="E100" s="30" t="str">
        <x:v>Power supply</x:v>
      </x:c>
      <x:c r="F100" s="30" t="str">
        <x:v>Corsair RM650e 650W 80+ Gold</x:v>
      </x:c>
      <x:c r="G100" s="31" t="n">
        <x:v>85</x:v>
      </x:c>
      <x:c r="H100" s="30" t="str">
        <x:v>Indicative UK procurement budget</x:v>
      </x:c>
      <x:c r="I100" s="30" t="str">
        <x:v>Emphasise quiet acoustics, 2TB storage and business-ready Windows Pro.</x:v>
      </x:c>
    </x:row>
    <x:row r="101" ht="34" customHeight="1">
      <x:c r="A101" s="30" t="str">
        <x:v>FF-BOF-02</x:v>
      </x:c>
      <x:c r="B101" s="30" t="str">
        <x:v>Deskwise Pro</x:v>
      </x:c>
      <x:c r="C101" s="30" t="str">
        <x:v>Business &amp; Office</x:v>
      </x:c>
      <x:c r="D101" s="30" t="str">
        <x:v>Mid-range</x:v>
      </x:c>
      <x:c r="E101" s="30" t="str">
        <x:v>CPU cooling</x:v>
      </x:c>
      <x:c r="F101" s="30" t="str">
        <x:v>Noctua NH-U12S redux</x:v>
      </x:c>
      <x:c r="G101" s="31" t="n">
        <x:v>55</x:v>
      </x:c>
      <x:c r="H101" s="30" t="str">
        <x:v>Indicative UK procurement budget</x:v>
      </x:c>
      <x:c r="I101" s="30" t="str">
        <x:v>Emphasise quiet acoustics, 2TB storage and business-ready Windows Pro.</x:v>
      </x:c>
    </x:row>
    <x:row r="102" ht="34" customHeight="1">
      <x:c r="A102" s="30" t="str">
        <x:v>FF-BOF-02</x:v>
      </x:c>
      <x:c r="B102" s="30" t="str">
        <x:v>Deskwise Pro</x:v>
      </x:c>
      <x:c r="C102" s="30" t="str">
        <x:v>Business &amp; Office</x:v>
      </x:c>
      <x:c r="D102" s="30" t="str">
        <x:v>Mid-range</x:v>
      </x:c>
      <x:c r="E102" s="30" t="str">
        <x:v>Operating system</x:v>
      </x:c>
      <x:c r="F102" s="30" t="str">
        <x:v>Windows 11 Pro</x:v>
      </x:c>
      <x:c r="G102" s="31" t="n">
        <x:v>0</x:v>
      </x:c>
      <x:c r="H102" s="30" t="str">
        <x:v>Indicative UK procurement budget</x:v>
      </x:c>
      <x:c r="I102" s="30" t="str">
        <x:v>Emphasise quiet acoustics, 2TB storage and business-ready Windows Pro.</x:v>
      </x:c>
    </x:row>
    <x:row r="103" ht="34" customHeight="1">
      <x:c r="A103" s="30" t="str">
        <x:v>FF-BOF-03</x:v>
      </x:c>
      <x:c r="B103" s="30" t="str">
        <x:v>Deskwise Executive</x:v>
      </x:c>
      <x:c r="C103" s="30" t="str">
        <x:v>Business &amp; Office</x:v>
      </x:c>
      <x:c r="D103" s="30" t="str">
        <x:v>High-end</x:v>
      </x:c>
      <x:c r="E103" s="30" t="str">
        <x:v>CPU / APU</x:v>
      </x:c>
      <x:c r="F103" s="30" t="str">
        <x:v>AMD Ryzen AI 7 350 (integrated)</x:v>
      </x:c>
      <x:c r="G103" s="31" t="n">
        <x:v>390</x:v>
      </x:c>
      <x:c r="H103" s="30" t="str">
        <x:v>Indicative UK procurement budget</x:v>
      </x:c>
      <x:c r="I103" s="30" t="str">
        <x:v>This is a compact APU product. Ryzen AI 7 350 is not a socketed AM5 tower CPU.</x:v>
      </x:c>
    </x:row>
    <x:row r="104" ht="34" customHeight="1">
      <x:c r="A104" s="30" t="str">
        <x:v>FF-BOF-03</x:v>
      </x:c>
      <x:c r="B104" s="30" t="str">
        <x:v>Deskwise Executive</x:v>
      </x:c>
      <x:c r="C104" s="30" t="str">
        <x:v>Business &amp; Office</x:v>
      </x:c>
      <x:c r="D104" s="30" t="str">
        <x:v>High-end</x:v>
      </x:c>
      <x:c r="E104" s="30" t="str">
        <x:v>Motherboard</x:v>
      </x:c>
      <x:c r="F104" s="30" t="str">
        <x:v>OEM compact APU mainboard (included)</x:v>
      </x:c>
      <x:c r="G104" s="31" t="n">
        <x:v>0</x:v>
      </x:c>
      <x:c r="H104" s="30" t="str">
        <x:v>Indicative UK procurement budget</x:v>
      </x:c>
      <x:c r="I104" s="30" t="str">
        <x:v>This is a compact APU product. Ryzen AI 7 350 is not a socketed AM5 tower CPU.</x:v>
      </x:c>
    </x:row>
    <x:row r="105" ht="34" customHeight="1">
      <x:c r="A105" s="30" t="str">
        <x:v>FF-BOF-03</x:v>
      </x:c>
      <x:c r="B105" s="30" t="str">
        <x:v>Deskwise Executive</x:v>
      </x:c>
      <x:c r="C105" s="30" t="str">
        <x:v>Business &amp; Office</x:v>
      </x:c>
      <x:c r="D105" s="30" t="str">
        <x:v>High-end</x:v>
      </x:c>
      <x:c r="E105" s="30" t="str">
        <x:v>Memory</x:v>
      </x:c>
      <x:c r="F105" s="30" t="str">
        <x:v>64GB LPDDR5X</x:v>
      </x:c>
      <x:c r="G105" s="31" t="n">
        <x:v>0</x:v>
      </x:c>
      <x:c r="H105" s="30" t="str">
        <x:v>Indicative UK procurement budget</x:v>
      </x:c>
      <x:c r="I105" s="30" t="str">
        <x:v>This is a compact APU product. Ryzen AI 7 350 is not a socketed AM5 tower CPU.</x:v>
      </x:c>
    </x:row>
    <x:row r="106" ht="34" customHeight="1">
      <x:c r="A106" s="30" t="str">
        <x:v>FF-BOF-03</x:v>
      </x:c>
      <x:c r="B106" s="30" t="str">
        <x:v>Deskwise Executive</x:v>
      </x:c>
      <x:c r="C106" s="30" t="str">
        <x:v>Business &amp; Office</x:v>
      </x:c>
      <x:c r="D106" s="30" t="str">
        <x:v>High-end</x:v>
      </x:c>
      <x:c r="E106" s="30" t="str">
        <x:v>Graphics</x:v>
      </x:c>
      <x:c r="F106" s="30" t="str">
        <x:v>AMD Radeon 860M integrated</x:v>
      </x:c>
      <x:c r="G106" s="31" t="n">
        <x:v>0</x:v>
      </x:c>
      <x:c r="H106" s="30" t="str">
        <x:v>Indicative UK procurement budget</x:v>
      </x:c>
      <x:c r="I106" s="30" t="str">
        <x:v>This is a compact APU product. Ryzen AI 7 350 is not a socketed AM5 tower CPU.</x:v>
      </x:c>
    </x:row>
    <x:row r="107" ht="34" customHeight="1">
      <x:c r="A107" s="30" t="str">
        <x:v>FF-BOF-03</x:v>
      </x:c>
      <x:c r="B107" s="30" t="str">
        <x:v>Deskwise Executive</x:v>
      </x:c>
      <x:c r="C107" s="30" t="str">
        <x:v>Business &amp; Office</x:v>
      </x:c>
      <x:c r="D107" s="30" t="str">
        <x:v>High-end</x:v>
      </x:c>
      <x:c r="E107" s="30" t="str">
        <x:v>Primary storage</x:v>
      </x:c>
      <x:c r="F107" s="30" t="str">
        <x:v>2TB PCIe 4.0 NVMe SSD</x:v>
      </x:c>
      <x:c r="G107" s="31" t="n">
        <x:v>110</x:v>
      </x:c>
      <x:c r="H107" s="30" t="str">
        <x:v>Indicative UK procurement budget</x:v>
      </x:c>
      <x:c r="I107" s="30" t="str">
        <x:v>This is a compact APU product. Ryzen AI 7 350 is not a socketed AM5 tower CPU.</x:v>
      </x:c>
    </x:row>
    <x:row r="108" ht="34" customHeight="1">
      <x:c r="A108" s="30" t="str">
        <x:v>FF-BOF-03</x:v>
      </x:c>
      <x:c r="B108" s="30" t="str">
        <x:v>Deskwise Executive</x:v>
      </x:c>
      <x:c r="C108" s="30" t="str">
        <x:v>Business &amp; Office</x:v>
      </x:c>
      <x:c r="D108" s="30" t="str">
        <x:v>High-end</x:v>
      </x:c>
      <x:c r="E108" s="30" t="str">
        <x:v>Case</x:v>
      </x:c>
      <x:c r="F108" s="30" t="str">
        <x:v>Premium compact aluminium mini-PC chassis</x:v>
      </x:c>
      <x:c r="G108" s="31" t="n">
        <x:v>250</x:v>
      </x:c>
      <x:c r="H108" s="30" t="str">
        <x:v>Indicative UK procurement budget</x:v>
      </x:c>
      <x:c r="I108" s="30" t="str">
        <x:v>This is a compact APU product. Ryzen AI 7 350 is not a socketed AM5 tower CPU.</x:v>
      </x:c>
    </x:row>
    <x:row r="109" ht="34" customHeight="1">
      <x:c r="A109" s="30" t="str">
        <x:v>FF-BOF-03</x:v>
      </x:c>
      <x:c r="B109" s="30" t="str">
        <x:v>Deskwise Executive</x:v>
      </x:c>
      <x:c r="C109" s="30" t="str">
        <x:v>Business &amp; Office</x:v>
      </x:c>
      <x:c r="D109" s="30" t="str">
        <x:v>High-end</x:v>
      </x:c>
      <x:c r="E109" s="30" t="str">
        <x:v>Power supply</x:v>
      </x:c>
      <x:c r="F109" s="30" t="str">
        <x:v>External 180W power adapter</x:v>
      </x:c>
      <x:c r="G109" s="31" t="n">
        <x:v>0</x:v>
      </x:c>
      <x:c r="H109" s="30" t="str">
        <x:v>Indicative UK procurement budget</x:v>
      </x:c>
      <x:c r="I109" s="30" t="str">
        <x:v>This is a compact APU product. Ryzen AI 7 350 is not a socketed AM5 tower CPU.</x:v>
      </x:c>
    </x:row>
    <x:row r="110" ht="34" customHeight="1">
      <x:c r="A110" s="30" t="str">
        <x:v>FF-BOF-03</x:v>
      </x:c>
      <x:c r="B110" s="30" t="str">
        <x:v>Deskwise Executive</x:v>
      </x:c>
      <x:c r="C110" s="30" t="str">
        <x:v>Business &amp; Office</x:v>
      </x:c>
      <x:c r="D110" s="30" t="str">
        <x:v>High-end</x:v>
      </x:c>
      <x:c r="E110" s="30" t="str">
        <x:v>CPU cooling</x:v>
      </x:c>
      <x:c r="F110" s="30" t="str">
        <x:v>Integrated low-noise cooling</x:v>
      </x:c>
      <x:c r="G110" s="31" t="n">
        <x:v>0</x:v>
      </x:c>
      <x:c r="H110" s="30" t="str">
        <x:v>Indicative UK procurement budget</x:v>
      </x:c>
      <x:c r="I110" s="30" t="str">
        <x:v>This is a compact APU product. Ryzen AI 7 350 is not a socketed AM5 tower CPU.</x:v>
      </x:c>
    </x:row>
    <x:row r="111" ht="34" customHeight="1">
      <x:c r="A111" s="30" t="str">
        <x:v>FF-BOF-03</x:v>
      </x:c>
      <x:c r="B111" s="30" t="str">
        <x:v>Deskwise Executive</x:v>
      </x:c>
      <x:c r="C111" s="30" t="str">
        <x:v>Business &amp; Office</x:v>
      </x:c>
      <x:c r="D111" s="30" t="str">
        <x:v>High-end</x:v>
      </x:c>
      <x:c r="E111" s="30" t="str">
        <x:v>Operating system</x:v>
      </x:c>
      <x:c r="F111" s="30" t="str">
        <x:v>Windows 11 Pro</x:v>
      </x:c>
      <x:c r="G111" s="31" t="n">
        <x:v>0</x:v>
      </x:c>
      <x:c r="H111" s="30" t="str">
        <x:v>Indicative UK procurement budget</x:v>
      </x:c>
      <x:c r="I111" s="30" t="str">
        <x:v>This is a compact APU product. Ryzen AI 7 350 is not a socketed AM5 tower CPU.</x:v>
      </x:c>
    </x:row>
    <x:row r="112" ht="34" customHeight="1">
      <x:c r="A112" s="30" t="str">
        <x:v>FF-CCR-01</x:v>
      </x:c>
      <x:c r="B112" s="30" t="str">
        <x:v>Creator Forge</x:v>
      </x:c>
      <x:c r="C112" s="30" t="str">
        <x:v>Content Creation</x:v>
      </x:c>
      <x:c r="D112" s="30" t="str">
        <x:v>Budget</x:v>
      </x:c>
      <x:c r="E112" s="30" t="str">
        <x:v>CPU / APU</x:v>
      </x:c>
      <x:c r="F112" s="30" t="str">
        <x:v>Intel Core Ultra 5 250K Plus</x:v>
      </x:c>
      <x:c r="G112" s="31" t="n">
        <x:v>215</x:v>
      </x:c>
      <x:c r="H112" s="30" t="str">
        <x:v>Indicative UK procurement budget</x:v>
      </x:c>
      <x:c r="I112" s="30" t="str">
        <x:v>NVIDIA acceleration and 64GB RAM are more important here than RGB excess.</x:v>
      </x:c>
    </x:row>
    <x:row r="113" ht="34" customHeight="1">
      <x:c r="A113" s="30" t="str">
        <x:v>FF-CCR-01</x:v>
      </x:c>
      <x:c r="B113" s="30" t="str">
        <x:v>Creator Forge</x:v>
      </x:c>
      <x:c r="C113" s="30" t="str">
        <x:v>Content Creation</x:v>
      </x:c>
      <x:c r="D113" s="30" t="str">
        <x:v>Budget</x:v>
      </x:c>
      <x:c r="E113" s="30" t="str">
        <x:v>Motherboard</x:v>
      </x:c>
      <x:c r="F113" s="30" t="str">
        <x:v>MSI Z890 GAMING PLUS WIFI</x:v>
      </x:c>
      <x:c r="G113" s="31" t="n">
        <x:v>210</x:v>
      </x:c>
      <x:c r="H113" s="30" t="str">
        <x:v>Indicative UK procurement budget</x:v>
      </x:c>
      <x:c r="I113" s="30" t="str">
        <x:v>NVIDIA acceleration and 64GB RAM are more important here than RGB excess.</x:v>
      </x:c>
    </x:row>
    <x:row r="114" ht="34" customHeight="1">
      <x:c r="A114" s="30" t="str">
        <x:v>FF-CCR-01</x:v>
      </x:c>
      <x:c r="B114" s="30" t="str">
        <x:v>Creator Forge</x:v>
      </x:c>
      <x:c r="C114" s="30" t="str">
        <x:v>Content Creation</x:v>
      </x:c>
      <x:c r="D114" s="30" t="str">
        <x:v>Budget</x:v>
      </x:c>
      <x:c r="E114" s="30" t="str">
        <x:v>Memory</x:v>
      </x:c>
      <x:c r="F114" s="30" t="str">
        <x:v>64GB (2x32GB) DDR5-6400</x:v>
      </x:c>
      <x:c r="G114" s="31" t="n">
        <x:v>260</x:v>
      </x:c>
      <x:c r="H114" s="30" t="str">
        <x:v>Indicative UK procurement budget</x:v>
      </x:c>
      <x:c r="I114" s="30" t="str">
        <x:v>NVIDIA acceleration and 64GB RAM are more important here than RGB excess.</x:v>
      </x:c>
    </x:row>
    <x:row r="115" ht="34" customHeight="1">
      <x:c r="A115" s="30" t="str">
        <x:v>FF-CCR-01</x:v>
      </x:c>
      <x:c r="B115" s="30" t="str">
        <x:v>Creator Forge</x:v>
      </x:c>
      <x:c r="C115" s="30" t="str">
        <x:v>Content Creation</x:v>
      </x:c>
      <x:c r="D115" s="30" t="str">
        <x:v>Budget</x:v>
      </x:c>
      <x:c r="E115" s="30" t="str">
        <x:v>Graphics</x:v>
      </x:c>
      <x:c r="F115" s="30" t="str">
        <x:v>NVIDIA GeForce RTX 5060 Ti 16GB</x:v>
      </x:c>
      <x:c r="G115" s="31" t="n">
        <x:v>650</x:v>
      </x:c>
      <x:c r="H115" s="30" t="str">
        <x:v>Indicative UK procurement budget</x:v>
      </x:c>
      <x:c r="I115" s="30" t="str">
        <x:v>NVIDIA acceleration and 64GB RAM are more important here than RGB excess.</x:v>
      </x:c>
    </x:row>
    <x:row r="116" ht="34" customHeight="1">
      <x:c r="A116" s="30" t="str">
        <x:v>FF-CCR-01</x:v>
      </x:c>
      <x:c r="B116" s="30" t="str">
        <x:v>Creator Forge</x:v>
      </x:c>
      <x:c r="C116" s="30" t="str">
        <x:v>Content Creation</x:v>
      </x:c>
      <x:c r="D116" s="30" t="str">
        <x:v>Budget</x:v>
      </x:c>
      <x:c r="E116" s="30" t="str">
        <x:v>Primary storage</x:v>
      </x:c>
      <x:c r="F116" s="30" t="str">
        <x:v>2TB PCIe 4.0 NVMe SSD</x:v>
      </x:c>
      <x:c r="G116" s="31" t="n">
        <x:v>110</x:v>
      </x:c>
      <x:c r="H116" s="30" t="str">
        <x:v>Indicative UK procurement budget</x:v>
      </x:c>
      <x:c r="I116" s="30" t="str">
        <x:v>NVIDIA acceleration and 64GB RAM are more important here than RGB excess.</x:v>
      </x:c>
    </x:row>
    <x:row r="117" ht="34" customHeight="1">
      <x:c r="A117" s="30" t="str">
        <x:v>FF-CCR-01</x:v>
      </x:c>
      <x:c r="B117" s="30" t="str">
        <x:v>Creator Forge</x:v>
      </x:c>
      <x:c r="C117" s="30" t="str">
        <x:v>Content Creation</x:v>
      </x:c>
      <x:c r="D117" s="30" t="str">
        <x:v>Budget</x:v>
      </x:c>
      <x:c r="E117" s="30" t="str">
        <x:v>Case</x:v>
      </x:c>
      <x:c r="F117" s="30" t="str">
        <x:v>Corsair 3500X</x:v>
      </x:c>
      <x:c r="G117" s="31" t="n">
        <x:v>95</x:v>
      </x:c>
      <x:c r="H117" s="30" t="str">
        <x:v>Indicative UK procurement budget</x:v>
      </x:c>
      <x:c r="I117" s="30" t="str">
        <x:v>NVIDIA acceleration and 64GB RAM are more important here than RGB excess.</x:v>
      </x:c>
    </x:row>
    <x:row r="118" ht="34" customHeight="1">
      <x:c r="A118" s="30" t="str">
        <x:v>FF-CCR-01</x:v>
      </x:c>
      <x:c r="B118" s="30" t="str">
        <x:v>Creator Forge</x:v>
      </x:c>
      <x:c r="C118" s="30" t="str">
        <x:v>Content Creation</x:v>
      </x:c>
      <x:c r="D118" s="30" t="str">
        <x:v>Budget</x:v>
      </x:c>
      <x:c r="E118" s="30" t="str">
        <x:v>Power supply</x:v>
      </x:c>
      <x:c r="F118" s="30" t="str">
        <x:v>Corsair RM750e 750W 80+ Gold</x:v>
      </x:c>
      <x:c r="G118" s="31" t="n">
        <x:v>100</x:v>
      </x:c>
      <x:c r="H118" s="30" t="str">
        <x:v>Indicative UK procurement budget</x:v>
      </x:c>
      <x:c r="I118" s="30" t="str">
        <x:v>NVIDIA acceleration and 64GB RAM are more important here than RGB excess.</x:v>
      </x:c>
    </x:row>
    <x:row r="119" ht="34" customHeight="1">
      <x:c r="A119" s="30" t="str">
        <x:v>FF-CCR-01</x:v>
      </x:c>
      <x:c r="B119" s="30" t="str">
        <x:v>Creator Forge</x:v>
      </x:c>
      <x:c r="C119" s="30" t="str">
        <x:v>Content Creation</x:v>
      </x:c>
      <x:c r="D119" s="30" t="str">
        <x:v>Budget</x:v>
      </x:c>
      <x:c r="E119" s="30" t="str">
        <x:v>CPU cooling</x:v>
      </x:c>
      <x:c r="F119" s="30" t="str">
        <x:v>Arctic Liquid Freezer III 240</x:v>
      </x:c>
      <x:c r="G119" s="31" t="n">
        <x:v>70</x:v>
      </x:c>
      <x:c r="H119" s="30" t="str">
        <x:v>Indicative UK procurement budget</x:v>
      </x:c>
      <x:c r="I119" s="30" t="str">
        <x:v>NVIDIA acceleration and 64GB RAM are more important here than RGB excess.</x:v>
      </x:c>
    </x:row>
    <x:row r="120" ht="34" customHeight="1">
      <x:c r="A120" s="30" t="str">
        <x:v>FF-CCR-01</x:v>
      </x:c>
      <x:c r="B120" s="30" t="str">
        <x:v>Creator Forge</x:v>
      </x:c>
      <x:c r="C120" s="30" t="str">
        <x:v>Content Creation</x:v>
      </x:c>
      <x:c r="D120" s="30" t="str">
        <x:v>Budget</x:v>
      </x:c>
      <x:c r="E120" s="30" t="str">
        <x:v>Operating system</x:v>
      </x:c>
      <x:c r="F120" s="30" t="str">
        <x:v>Windows 11 Home</x:v>
      </x:c>
      <x:c r="G120" s="31" t="n">
        <x:v>0</x:v>
      </x:c>
      <x:c r="H120" s="30" t="str">
        <x:v>Indicative UK procurement budget</x:v>
      </x:c>
      <x:c r="I120" s="30" t="str">
        <x:v>NVIDIA acceleration and 64GB RAM are more important here than RGB excess.</x:v>
      </x:c>
    </x:row>
    <x:row r="121" ht="34" customHeight="1">
      <x:c r="A121" s="30" t="str">
        <x:v>FF-CCR-02</x:v>
      </x:c>
      <x:c r="B121" s="30" t="str">
        <x:v>Creator Signal</x:v>
      </x:c>
      <x:c r="C121" s="30" t="str">
        <x:v>Content Creation</x:v>
      </x:c>
      <x:c r="D121" s="30" t="str">
        <x:v>Mid-range</x:v>
      </x:c>
      <x:c r="E121" s="30" t="str">
        <x:v>CPU / APU</x:v>
      </x:c>
      <x:c r="F121" s="30" t="str">
        <x:v>Intel Core Ultra 7 270K Plus</x:v>
      </x:c>
      <x:c r="G121" s="31" t="n">
        <x:v>320</x:v>
      </x:c>
      <x:c r="H121" s="30" t="str">
        <x:v>Indicative UK procurement budget</x:v>
      </x:c>
      <x:c r="I121" s="30" t="str">
        <x:v>A genuinely professional creative rig with useful I/O and 4TB working space.</x:v>
      </x:c>
    </x:row>
    <x:row r="122" ht="34" customHeight="1">
      <x:c r="A122" s="30" t="str">
        <x:v>FF-CCR-02</x:v>
      </x:c>
      <x:c r="B122" s="30" t="str">
        <x:v>Creator Signal</x:v>
      </x:c>
      <x:c r="C122" s="30" t="str">
        <x:v>Content Creation</x:v>
      </x:c>
      <x:c r="D122" s="30" t="str">
        <x:v>Mid-range</x:v>
      </x:c>
      <x:c r="E122" s="30" t="str">
        <x:v>Motherboard</x:v>
      </x:c>
      <x:c r="F122" s="30" t="str">
        <x:v>ASUS ProArt Z890-CREATOR WIFI</x:v>
      </x:c>
      <x:c r="G122" s="31" t="n">
        <x:v>500</x:v>
      </x:c>
      <x:c r="H122" s="30" t="str">
        <x:v>Indicative UK procurement budget</x:v>
      </x:c>
      <x:c r="I122" s="30" t="str">
        <x:v>A genuinely professional creative rig with useful I/O and 4TB working space.</x:v>
      </x:c>
    </x:row>
    <x:row r="123" ht="34" customHeight="1">
      <x:c r="A123" s="30" t="str">
        <x:v>FF-CCR-02</x:v>
      </x:c>
      <x:c r="B123" s="30" t="str">
        <x:v>Creator Signal</x:v>
      </x:c>
      <x:c r="C123" s="30" t="str">
        <x:v>Content Creation</x:v>
      </x:c>
      <x:c r="D123" s="30" t="str">
        <x:v>Mid-range</x:v>
      </x:c>
      <x:c r="E123" s="30" t="str">
        <x:v>Memory</x:v>
      </x:c>
      <x:c r="F123" s="30" t="str">
        <x:v>64GB (2x32GB) DDR5-6400</x:v>
      </x:c>
      <x:c r="G123" s="31" t="n">
        <x:v>260</x:v>
      </x:c>
      <x:c r="H123" s="30" t="str">
        <x:v>Indicative UK procurement budget</x:v>
      </x:c>
      <x:c r="I123" s="30" t="str">
        <x:v>A genuinely professional creative rig with useful I/O and 4TB working space.</x:v>
      </x:c>
    </x:row>
    <x:row r="124" ht="34" customHeight="1">
      <x:c r="A124" s="30" t="str">
        <x:v>FF-CCR-02</x:v>
      </x:c>
      <x:c r="B124" s="30" t="str">
        <x:v>Creator Signal</x:v>
      </x:c>
      <x:c r="C124" s="30" t="str">
        <x:v>Content Creation</x:v>
      </x:c>
      <x:c r="D124" s="30" t="str">
        <x:v>Mid-range</x:v>
      </x:c>
      <x:c r="E124" s="30" t="str">
        <x:v>Graphics</x:v>
      </x:c>
      <x:c r="F124" s="30" t="str">
        <x:v>NVIDIA GeForce RTX 5080 16GB</x:v>
      </x:c>
      <x:c r="G124" s="31" t="n">
        <x:v>1400</x:v>
      </x:c>
      <x:c r="H124" s="30" t="str">
        <x:v>Indicative UK procurement budget</x:v>
      </x:c>
      <x:c r="I124" s="30" t="str">
        <x:v>A genuinely professional creative rig with useful I/O and 4TB working space.</x:v>
      </x:c>
    </x:row>
    <x:row r="125" ht="34" customHeight="1">
      <x:c r="A125" s="30" t="str">
        <x:v>FF-CCR-02</x:v>
      </x:c>
      <x:c r="B125" s="30" t="str">
        <x:v>Creator Signal</x:v>
      </x:c>
      <x:c r="C125" s="30" t="str">
        <x:v>Content Creation</x:v>
      </x:c>
      <x:c r="D125" s="30" t="str">
        <x:v>Mid-range</x:v>
      </x:c>
      <x:c r="E125" s="30" t="str">
        <x:v>Primary storage</x:v>
      </x:c>
      <x:c r="F125" s="30" t="str">
        <x:v>4TB PCIe 4.0 NVMe SSD</x:v>
      </x:c>
      <x:c r="G125" s="31" t="n">
        <x:v>220</x:v>
      </x:c>
      <x:c r="H125" s="30" t="str">
        <x:v>Indicative UK procurement budget</x:v>
      </x:c>
      <x:c r="I125" s="30" t="str">
        <x:v>A genuinely professional creative rig with useful I/O and 4TB working space.</x:v>
      </x:c>
    </x:row>
    <x:row r="126" ht="34" customHeight="1">
      <x:c r="A126" s="30" t="str">
        <x:v>FF-CCR-02</x:v>
      </x:c>
      <x:c r="B126" s="30" t="str">
        <x:v>Creator Signal</x:v>
      </x:c>
      <x:c r="C126" s="30" t="str">
        <x:v>Content Creation</x:v>
      </x:c>
      <x:c r="D126" s="30" t="str">
        <x:v>Mid-range</x:v>
      </x:c>
      <x:c r="E126" s="30" t="str">
        <x:v>Case</x:v>
      </x:c>
      <x:c r="F126" s="30" t="str">
        <x:v>ASUS ProArt PA602</x:v>
      </x:c>
      <x:c r="G126" s="31" t="n">
        <x:v>230</x:v>
      </x:c>
      <x:c r="H126" s="30" t="str">
        <x:v>Indicative UK procurement budget</x:v>
      </x:c>
      <x:c r="I126" s="30" t="str">
        <x:v>A genuinely professional creative rig with useful I/O and 4TB working space.</x:v>
      </x:c>
    </x:row>
    <x:row r="127" ht="34" customHeight="1">
      <x:c r="A127" s="30" t="str">
        <x:v>FF-CCR-02</x:v>
      </x:c>
      <x:c r="B127" s="30" t="str">
        <x:v>Creator Signal</x:v>
      </x:c>
      <x:c r="C127" s="30" t="str">
        <x:v>Content Creation</x:v>
      </x:c>
      <x:c r="D127" s="30" t="str">
        <x:v>Mid-range</x:v>
      </x:c>
      <x:c r="E127" s="30" t="str">
        <x:v>Power supply</x:v>
      </x:c>
      <x:c r="F127" s="30" t="str">
        <x:v>Corsair RM1000x 1000W 80+ Gold</x:v>
      </x:c>
      <x:c r="G127" s="31" t="n">
        <x:v>180</x:v>
      </x:c>
      <x:c r="H127" s="30" t="str">
        <x:v>Indicative UK procurement budget</x:v>
      </x:c>
      <x:c r="I127" s="30" t="str">
        <x:v>A genuinely professional creative rig with useful I/O and 4TB working space.</x:v>
      </x:c>
    </x:row>
    <x:row r="128" ht="34" customHeight="1">
      <x:c r="A128" s="30" t="str">
        <x:v>FF-CCR-02</x:v>
      </x:c>
      <x:c r="B128" s="30" t="str">
        <x:v>Creator Signal</x:v>
      </x:c>
      <x:c r="C128" s="30" t="str">
        <x:v>Content Creation</x:v>
      </x:c>
      <x:c r="D128" s="30" t="str">
        <x:v>Mid-range</x:v>
      </x:c>
      <x:c r="E128" s="30" t="str">
        <x:v>CPU cooling</x:v>
      </x:c>
      <x:c r="F128" s="30" t="str">
        <x:v>Arctic Liquid Freezer III 360</x:v>
      </x:c>
      <x:c r="G128" s="31" t="n">
        <x:v>90</x:v>
      </x:c>
      <x:c r="H128" s="30" t="str">
        <x:v>Indicative UK procurement budget</x:v>
      </x:c>
      <x:c r="I128" s="30" t="str">
        <x:v>A genuinely professional creative rig with useful I/O and 4TB working space.</x:v>
      </x:c>
    </x:row>
    <x:row r="129" ht="34" customHeight="1">
      <x:c r="A129" s="30" t="str">
        <x:v>FF-CCR-02</x:v>
      </x:c>
      <x:c r="B129" s="30" t="str">
        <x:v>Creator Signal</x:v>
      </x:c>
      <x:c r="C129" s="30" t="str">
        <x:v>Content Creation</x:v>
      </x:c>
      <x:c r="D129" s="30" t="str">
        <x:v>Mid-range</x:v>
      </x:c>
      <x:c r="E129" s="30" t="str">
        <x:v>Operating system</x:v>
      </x:c>
      <x:c r="F129" s="30" t="str">
        <x:v>Windows 11 Pro</x:v>
      </x:c>
      <x:c r="G129" s="31" t="n">
        <x:v>0</x:v>
      </x:c>
      <x:c r="H129" s="30" t="str">
        <x:v>Indicative UK procurement budget</x:v>
      </x:c>
      <x:c r="I129" s="30" t="str">
        <x:v>A genuinely professional creative rig with useful I/O and 4TB working space.</x:v>
      </x:c>
    </x:row>
    <x:row r="130" ht="34" customHeight="1">
      <x:c r="A130" s="30" t="str">
        <x:v>FF-CCR-03</x:v>
      </x:c>
      <x:c r="B130" s="30" t="str">
        <x:v>Creator Nova</x:v>
      </x:c>
      <x:c r="C130" s="30" t="str">
        <x:v>Content Creation</x:v>
      </x:c>
      <x:c r="D130" s="30" t="str">
        <x:v>High-end</x:v>
      </x:c>
      <x:c r="E130" s="30" t="str">
        <x:v>CPU / APU</x:v>
      </x:c>
      <x:c r="F130" s="30" t="str">
        <x:v>AMD Ryzen 9 9950X</x:v>
      </x:c>
      <x:c r="G130" s="31" t="n">
        <x:v>450</x:v>
      </x:c>
      <x:c r="H130" s="30" t="str">
        <x:v>Indicative UK procurement budget</x:v>
      </x:c>
      <x:c r="I130" s="30" t="str">
        <x:v>Treat as a made-to-order flagship, with display-calibration and RAID options.</x:v>
      </x:c>
    </x:row>
    <x:row r="131" ht="34" customHeight="1">
      <x:c r="A131" s="30" t="str">
        <x:v>FF-CCR-03</x:v>
      </x:c>
      <x:c r="B131" s="30" t="str">
        <x:v>Creator Nova</x:v>
      </x:c>
      <x:c r="C131" s="30" t="str">
        <x:v>Content Creation</x:v>
      </x:c>
      <x:c r="D131" s="30" t="str">
        <x:v>High-end</x:v>
      </x:c>
      <x:c r="E131" s="30" t="str">
        <x:v>Motherboard</x:v>
      </x:c>
      <x:c r="F131" s="30" t="str">
        <x:v>ASUS ProArt X870E-Creator WiFi</x:v>
      </x:c>
      <x:c r="G131" s="31" t="n">
        <x:v>450</x:v>
      </x:c>
      <x:c r="H131" s="30" t="str">
        <x:v>Indicative UK procurement budget</x:v>
      </x:c>
      <x:c r="I131" s="30" t="str">
        <x:v>Treat as a made-to-order flagship, with display-calibration and RAID options.</x:v>
      </x:c>
    </x:row>
    <x:row r="132" ht="34" customHeight="1">
      <x:c r="A132" s="30" t="str">
        <x:v>FF-CCR-03</x:v>
      </x:c>
      <x:c r="B132" s="30" t="str">
        <x:v>Creator Nova</x:v>
      </x:c>
      <x:c r="C132" s="30" t="str">
        <x:v>Content Creation</x:v>
      </x:c>
      <x:c r="D132" s="30" t="str">
        <x:v>High-end</x:v>
      </x:c>
      <x:c r="E132" s="30" t="str">
        <x:v>Memory</x:v>
      </x:c>
      <x:c r="F132" s="30" t="str">
        <x:v>128GB (4x32GB) DDR5-5600</x:v>
      </x:c>
      <x:c r="G132" s="31" t="n">
        <x:v>420</x:v>
      </x:c>
      <x:c r="H132" s="30" t="str">
        <x:v>Indicative UK procurement budget</x:v>
      </x:c>
      <x:c r="I132" s="30" t="str">
        <x:v>Treat as a made-to-order flagship, with display-calibration and RAID options.</x:v>
      </x:c>
    </x:row>
    <x:row r="133" ht="34" customHeight="1">
      <x:c r="A133" s="30" t="str">
        <x:v>FF-CCR-03</x:v>
      </x:c>
      <x:c r="B133" s="30" t="str">
        <x:v>Creator Nova</x:v>
      </x:c>
      <x:c r="C133" s="30" t="str">
        <x:v>Content Creation</x:v>
      </x:c>
      <x:c r="D133" s="30" t="str">
        <x:v>High-end</x:v>
      </x:c>
      <x:c r="E133" s="30" t="str">
        <x:v>Graphics</x:v>
      </x:c>
      <x:c r="F133" s="30" t="str">
        <x:v>NVIDIA GeForce RTX 5090 32GB</x:v>
      </x:c>
      <x:c r="G133" s="31" t="n">
        <x:v>3300</x:v>
      </x:c>
      <x:c r="H133" s="30" t="str">
        <x:v>Indicative UK procurement budget</x:v>
      </x:c>
      <x:c r="I133" s="30" t="str">
        <x:v>Treat as a made-to-order flagship, with display-calibration and RAID options.</x:v>
      </x:c>
    </x:row>
    <x:row r="134" ht="34" customHeight="1">
      <x:c r="A134" s="30" t="str">
        <x:v>FF-CCR-03</x:v>
      </x:c>
      <x:c r="B134" s="30" t="str">
        <x:v>Creator Nova</x:v>
      </x:c>
      <x:c r="C134" s="30" t="str">
        <x:v>Content Creation</x:v>
      </x:c>
      <x:c r="D134" s="30" t="str">
        <x:v>High-end</x:v>
      </x:c>
      <x:c r="E134" s="30" t="str">
        <x:v>Primary storage</x:v>
      </x:c>
      <x:c r="F134" s="30" t="str">
        <x:v>4TB PCIe 4.0 NVMe SSD + 4TB project SSD</x:v>
      </x:c>
      <x:c r="G134" s="31" t="n">
        <x:v>430</x:v>
      </x:c>
      <x:c r="H134" s="30" t="str">
        <x:v>Indicative UK procurement budget</x:v>
      </x:c>
      <x:c r="I134" s="30" t="str">
        <x:v>Treat as a made-to-order flagship, with display-calibration and RAID options.</x:v>
      </x:c>
    </x:row>
    <x:row r="135" ht="34" customHeight="1">
      <x:c r="A135" s="30" t="str">
        <x:v>FF-CCR-03</x:v>
      </x:c>
      <x:c r="B135" s="30" t="str">
        <x:v>Creator Nova</x:v>
      </x:c>
      <x:c r="C135" s="30" t="str">
        <x:v>Content Creation</x:v>
      </x:c>
      <x:c r="D135" s="30" t="str">
        <x:v>High-end</x:v>
      </x:c>
      <x:c r="E135" s="30" t="str">
        <x:v>Case</x:v>
      </x:c>
      <x:c r="F135" s="30" t="str">
        <x:v>Fractal Design Define 7 XL</x:v>
      </x:c>
      <x:c r="G135" s="31" t="n">
        <x:v>190</x:v>
      </x:c>
      <x:c r="H135" s="30" t="str">
        <x:v>Indicative UK procurement budget</x:v>
      </x:c>
      <x:c r="I135" s="30" t="str">
        <x:v>Treat as a made-to-order flagship, with display-calibration and RAID options.</x:v>
      </x:c>
    </x:row>
    <x:row r="136" ht="34" customHeight="1">
      <x:c r="A136" s="30" t="str">
        <x:v>FF-CCR-03</x:v>
      </x:c>
      <x:c r="B136" s="30" t="str">
        <x:v>Creator Nova</x:v>
      </x:c>
      <x:c r="C136" s="30" t="str">
        <x:v>Content Creation</x:v>
      </x:c>
      <x:c r="D136" s="30" t="str">
        <x:v>High-end</x:v>
      </x:c>
      <x:c r="E136" s="30" t="str">
        <x:v>Power supply</x:v>
      </x:c>
      <x:c r="F136" s="30" t="str">
        <x:v>Corsair HX1200i 1200W 80+ Platinum</x:v>
      </x:c>
      <x:c r="G136" s="31" t="n">
        <x:v>320</x:v>
      </x:c>
      <x:c r="H136" s="30" t="str">
        <x:v>Indicative UK procurement budget</x:v>
      </x:c>
      <x:c r="I136" s="30" t="str">
        <x:v>Treat as a made-to-order flagship, with display-calibration and RAID options.</x:v>
      </x:c>
    </x:row>
    <x:row r="137" ht="34" customHeight="1">
      <x:c r="A137" s="30" t="str">
        <x:v>FF-CCR-03</x:v>
      </x:c>
      <x:c r="B137" s="30" t="str">
        <x:v>Creator Nova</x:v>
      </x:c>
      <x:c r="C137" s="30" t="str">
        <x:v>Content Creation</x:v>
      </x:c>
      <x:c r="D137" s="30" t="str">
        <x:v>High-end</x:v>
      </x:c>
      <x:c r="E137" s="30" t="str">
        <x:v>CPU cooling</x:v>
      </x:c>
      <x:c r="F137" s="30" t="str">
        <x:v>Arctic Liquid Freezer III 420</x:v>
      </x:c>
      <x:c r="G137" s="31" t="n">
        <x:v>115</x:v>
      </x:c>
      <x:c r="H137" s="30" t="str">
        <x:v>Indicative UK procurement budget</x:v>
      </x:c>
      <x:c r="I137" s="30" t="str">
        <x:v>Treat as a made-to-order flagship, with display-calibration and RAID options.</x:v>
      </x:c>
    </x:row>
    <x:row r="138" ht="34" customHeight="1">
      <x:c r="A138" s="30" t="str">
        <x:v>FF-CCR-03</x:v>
      </x:c>
      <x:c r="B138" s="30" t="str">
        <x:v>Creator Nova</x:v>
      </x:c>
      <x:c r="C138" s="30" t="str">
        <x:v>Content Creation</x:v>
      </x:c>
      <x:c r="D138" s="30" t="str">
        <x:v>High-end</x:v>
      </x:c>
      <x:c r="E138" s="30" t="str">
        <x:v>Operating system</x:v>
      </x:c>
      <x:c r="F138" s="30" t="str">
        <x:v>Windows 11 Pro</x:v>
      </x:c>
      <x:c r="G138" s="31" t="n">
        <x:v>0</x:v>
      </x:c>
      <x:c r="H138" s="30" t="str">
        <x:v>Indicative UK procurement budget</x:v>
      </x:c>
      <x:c r="I138" s="30" t="str">
        <x:v>Treat as a made-to-order flagship, with display-calibration and RAID options.</x:v>
      </x:c>
    </x:row>
    <x:row r="139" ht="34" customHeight="1">
      <x:c r="A139" s="30" t="str">
        <x:v>FF-AIW-01</x:v>
      </x:c>
      <x:c r="B139" s="30" t="str">
        <x:v>Localhost 16</x:v>
      </x:c>
      <x:c r="C139" s="30" t="str">
        <x:v>AI Workstation</x:v>
      </x:c>
      <x:c r="D139" s="30" t="str">
        <x:v>Budget</x:v>
      </x:c>
      <x:c r="E139" s="30" t="str">
        <x:v>CPU / APU</x:v>
      </x:c>
      <x:c r="F139" s="30" t="str">
        <x:v>AMD Ryzen 5 9600X</x:v>
      </x:c>
      <x:c r="G139" s="31" t="n">
        <x:v>205</x:v>
      </x:c>
      <x:c r="H139" s="30" t="str">
        <x:v>Indicative UK procurement budget</x:v>
      </x:c>
      <x:c r="I139" s="30" t="str">
        <x:v>The entry local-LLM build: 16GB VRAM, 64GB system RAM, NVIDIA CUDA ecosystem.</x:v>
      </x:c>
    </x:row>
    <x:row r="140" ht="34" customHeight="1">
      <x:c r="A140" s="30" t="str">
        <x:v>FF-AIW-01</x:v>
      </x:c>
      <x:c r="B140" s="30" t="str">
        <x:v>Localhost 16</x:v>
      </x:c>
      <x:c r="C140" s="30" t="str">
        <x:v>AI Workstation</x:v>
      </x:c>
      <x:c r="D140" s="30" t="str">
        <x:v>Budget</x:v>
      </x:c>
      <x:c r="E140" s="30" t="str">
        <x:v>Motherboard</x:v>
      </x:c>
      <x:c r="F140" s="30" t="str">
        <x:v>MSI MAG B850 Tomahawk MAX WiFi</x:v>
      </x:c>
      <x:c r="G140" s="31" t="n">
        <x:v>220</x:v>
      </x:c>
      <x:c r="H140" s="30" t="str">
        <x:v>Indicative UK procurement budget</x:v>
      </x:c>
      <x:c r="I140" s="30" t="str">
        <x:v>The entry local-LLM build: 16GB VRAM, 64GB system RAM, NVIDIA CUDA ecosystem.</x:v>
      </x:c>
    </x:row>
    <x:row r="141" ht="34" customHeight="1">
      <x:c r="A141" s="30" t="str">
        <x:v>FF-AIW-01</x:v>
      </x:c>
      <x:c r="B141" s="30" t="str">
        <x:v>Localhost 16</x:v>
      </x:c>
      <x:c r="C141" s="30" t="str">
        <x:v>AI Workstation</x:v>
      </x:c>
      <x:c r="D141" s="30" t="str">
        <x:v>Budget</x:v>
      </x:c>
      <x:c r="E141" s="30" t="str">
        <x:v>Memory</x:v>
      </x:c>
      <x:c r="F141" s="30" t="str">
        <x:v>64GB (2x32GB) DDR5-6000 CL30</x:v>
      </x:c>
      <x:c r="G141" s="31" t="n">
        <x:v>220</x:v>
      </x:c>
      <x:c r="H141" s="30" t="str">
        <x:v>Indicative UK procurement budget</x:v>
      </x:c>
      <x:c r="I141" s="30" t="str">
        <x:v>The entry local-LLM build: 16GB VRAM, 64GB system RAM, NVIDIA CUDA ecosystem.</x:v>
      </x:c>
    </x:row>
    <x:row r="142" ht="34" customHeight="1">
      <x:c r="A142" s="30" t="str">
        <x:v>FF-AIW-01</x:v>
      </x:c>
      <x:c r="B142" s="30" t="str">
        <x:v>Localhost 16</x:v>
      </x:c>
      <x:c r="C142" s="30" t="str">
        <x:v>AI Workstation</x:v>
      </x:c>
      <x:c r="D142" s="30" t="str">
        <x:v>Budget</x:v>
      </x:c>
      <x:c r="E142" s="30" t="str">
        <x:v>Graphics</x:v>
      </x:c>
      <x:c r="F142" s="30" t="str">
        <x:v>NVIDIA GeForce RTX 5060 Ti 16GB</x:v>
      </x:c>
      <x:c r="G142" s="31" t="n">
        <x:v>650</x:v>
      </x:c>
      <x:c r="H142" s="30" t="str">
        <x:v>Indicative UK procurement budget</x:v>
      </x:c>
      <x:c r="I142" s="30" t="str">
        <x:v>The entry local-LLM build: 16GB VRAM, 64GB system RAM, NVIDIA CUDA ecosystem.</x:v>
      </x:c>
    </x:row>
    <x:row r="143" ht="34" customHeight="1">
      <x:c r="A143" s="30" t="str">
        <x:v>FF-AIW-01</x:v>
      </x:c>
      <x:c r="B143" s="30" t="str">
        <x:v>Localhost 16</x:v>
      </x:c>
      <x:c r="C143" s="30" t="str">
        <x:v>AI Workstation</x:v>
      </x:c>
      <x:c r="D143" s="30" t="str">
        <x:v>Budget</x:v>
      </x:c>
      <x:c r="E143" s="30" t="str">
        <x:v>Primary storage</x:v>
      </x:c>
      <x:c r="F143" s="30" t="str">
        <x:v>2TB PCIe 4.0 NVMe SSD</x:v>
      </x:c>
      <x:c r="G143" s="31" t="n">
        <x:v>110</x:v>
      </x:c>
      <x:c r="H143" s="30" t="str">
        <x:v>Indicative UK procurement budget</x:v>
      </x:c>
      <x:c r="I143" s="30" t="str">
        <x:v>The entry local-LLM build: 16GB VRAM, 64GB system RAM, NVIDIA CUDA ecosystem.</x:v>
      </x:c>
    </x:row>
    <x:row r="144" ht="34" customHeight="1">
      <x:c r="A144" s="30" t="str">
        <x:v>FF-AIW-01</x:v>
      </x:c>
      <x:c r="B144" s="30" t="str">
        <x:v>Localhost 16</x:v>
      </x:c>
      <x:c r="C144" s="30" t="str">
        <x:v>AI Workstation</x:v>
      </x:c>
      <x:c r="D144" s="30" t="str">
        <x:v>Budget</x:v>
      </x:c>
      <x:c r="E144" s="30" t="str">
        <x:v>Case</x:v>
      </x:c>
      <x:c r="F144" s="30" t="str">
        <x:v>Fractal Design Meshify 2 Compact</x:v>
      </x:c>
      <x:c r="G144" s="31" t="n">
        <x:v>130</x:v>
      </x:c>
      <x:c r="H144" s="30" t="str">
        <x:v>Indicative UK procurement budget</x:v>
      </x:c>
      <x:c r="I144" s="30" t="str">
        <x:v>The entry local-LLM build: 16GB VRAM, 64GB system RAM, NVIDIA CUDA ecosystem.</x:v>
      </x:c>
    </x:row>
    <x:row r="145" ht="34" customHeight="1">
      <x:c r="A145" s="30" t="str">
        <x:v>FF-AIW-01</x:v>
      </x:c>
      <x:c r="B145" s="30" t="str">
        <x:v>Localhost 16</x:v>
      </x:c>
      <x:c r="C145" s="30" t="str">
        <x:v>AI Workstation</x:v>
      </x:c>
      <x:c r="D145" s="30" t="str">
        <x:v>Budget</x:v>
      </x:c>
      <x:c r="E145" s="30" t="str">
        <x:v>Power supply</x:v>
      </x:c>
      <x:c r="F145" s="30" t="str">
        <x:v>Corsair RM750e 750W 80+ Gold</x:v>
      </x:c>
      <x:c r="G145" s="31" t="n">
        <x:v>100</x:v>
      </x:c>
      <x:c r="H145" s="30" t="str">
        <x:v>Indicative UK procurement budget</x:v>
      </x:c>
      <x:c r="I145" s="30" t="str">
        <x:v>The entry local-LLM build: 16GB VRAM, 64GB system RAM, NVIDIA CUDA ecosystem.</x:v>
      </x:c>
    </x:row>
    <x:row r="146" ht="34" customHeight="1">
      <x:c r="A146" s="30" t="str">
        <x:v>FF-AIW-01</x:v>
      </x:c>
      <x:c r="B146" s="30" t="str">
        <x:v>Localhost 16</x:v>
      </x:c>
      <x:c r="C146" s="30" t="str">
        <x:v>AI Workstation</x:v>
      </x:c>
      <x:c r="D146" s="30" t="str">
        <x:v>Budget</x:v>
      </x:c>
      <x:c r="E146" s="30" t="str">
        <x:v>CPU cooling</x:v>
      </x:c>
      <x:c r="F146" s="30" t="str">
        <x:v>Thermalright Peerless Assassin 120 SE</x:v>
      </x:c>
      <x:c r="G146" s="31" t="n">
        <x:v>35</x:v>
      </x:c>
      <x:c r="H146" s="30" t="str">
        <x:v>Indicative UK procurement budget</x:v>
      </x:c>
      <x:c r="I146" s="30" t="str">
        <x:v>The entry local-LLM build: 16GB VRAM, 64GB system RAM, NVIDIA CUDA ecosystem.</x:v>
      </x:c>
    </x:row>
    <x:row r="147" ht="34" customHeight="1">
      <x:c r="A147" s="30" t="str">
        <x:v>FF-AIW-01</x:v>
      </x:c>
      <x:c r="B147" s="30" t="str">
        <x:v>Localhost 16</x:v>
      </x:c>
      <x:c r="C147" s="30" t="str">
        <x:v>AI Workstation</x:v>
      </x:c>
      <x:c r="D147" s="30" t="str">
        <x:v>Budget</x:v>
      </x:c>
      <x:c r="E147" s="30" t="str">
        <x:v>Operating system</x:v>
      </x:c>
      <x:c r="F147" s="30" t="str">
        <x:v>Windows 11 Pro + Ubuntu option</x:v>
      </x:c>
      <x:c r="G147" s="31" t="n">
        <x:v>0</x:v>
      </x:c>
      <x:c r="H147" s="30" t="str">
        <x:v>Indicative UK procurement budget</x:v>
      </x:c>
      <x:c r="I147" s="30" t="str">
        <x:v>The entry local-LLM build: 16GB VRAM, 64GB system RAM, NVIDIA CUDA ecosystem.</x:v>
      </x:c>
    </x:row>
    <x:row r="148" ht="34" customHeight="1">
      <x:c r="A148" s="30" t="str">
        <x:v>FF-AIW-02</x:v>
      </x:c>
      <x:c r="B148" s="30" t="str">
        <x:v>Localhost 32</x:v>
      </x:c>
      <x:c r="C148" s="30" t="str">
        <x:v>AI Workstation</x:v>
      </x:c>
      <x:c r="D148" s="30" t="str">
        <x:v>Mid-range</x:v>
      </x:c>
      <x:c r="E148" s="30" t="str">
        <x:v>CPU / APU</x:v>
      </x:c>
      <x:c r="F148" s="30" t="str">
        <x:v>AMD Ryzen 9 9950X</x:v>
      </x:c>
      <x:c r="G148" s="31" t="n">
        <x:v>450</x:v>
      </x:c>
      <x:c r="H148" s="30" t="str">
        <x:v>Indicative UK procurement budget</x:v>
      </x:c>
      <x:c r="I148" s="30" t="str">
        <x:v>32GB VRAM is the headline. Be explicit that NVIDIA/CUDA software compatibility is broader than AMD/ROCm.</x:v>
      </x:c>
    </x:row>
    <x:row r="149" ht="34" customHeight="1">
      <x:c r="A149" s="30" t="str">
        <x:v>FF-AIW-02</x:v>
      </x:c>
      <x:c r="B149" s="30" t="str">
        <x:v>Localhost 32</x:v>
      </x:c>
      <x:c r="C149" s="30" t="str">
        <x:v>AI Workstation</x:v>
      </x:c>
      <x:c r="D149" s="30" t="str">
        <x:v>Mid-range</x:v>
      </x:c>
      <x:c r="E149" s="30" t="str">
        <x:v>Motherboard</x:v>
      </x:c>
      <x:c r="F149" s="30" t="str">
        <x:v>ASUS ProArt X870E-Creator WiFi</x:v>
      </x:c>
      <x:c r="G149" s="31" t="n">
        <x:v>450</x:v>
      </x:c>
      <x:c r="H149" s="30" t="str">
        <x:v>Indicative UK procurement budget</x:v>
      </x:c>
      <x:c r="I149" s="30" t="str">
        <x:v>32GB VRAM is the headline. Be explicit that NVIDIA/CUDA software compatibility is broader than AMD/ROCm.</x:v>
      </x:c>
    </x:row>
    <x:row r="150" ht="34" customHeight="1">
      <x:c r="A150" s="30" t="str">
        <x:v>FF-AIW-02</x:v>
      </x:c>
      <x:c r="B150" s="30" t="str">
        <x:v>Localhost 32</x:v>
      </x:c>
      <x:c r="C150" s="30" t="str">
        <x:v>AI Workstation</x:v>
      </x:c>
      <x:c r="D150" s="30" t="str">
        <x:v>Mid-range</x:v>
      </x:c>
      <x:c r="E150" s="30" t="str">
        <x:v>Memory</x:v>
      </x:c>
      <x:c r="F150" s="30" t="str">
        <x:v>128GB (4x32GB) DDR5-5600</x:v>
      </x:c>
      <x:c r="G150" s="31" t="n">
        <x:v>420</x:v>
      </x:c>
      <x:c r="H150" s="30" t="str">
        <x:v>Indicative UK procurement budget</x:v>
      </x:c>
      <x:c r="I150" s="30" t="str">
        <x:v>32GB VRAM is the headline. Be explicit that NVIDIA/CUDA software compatibility is broader than AMD/ROCm.</x:v>
      </x:c>
    </x:row>
    <x:row r="151" ht="34" customHeight="1">
      <x:c r="A151" s="30" t="str">
        <x:v>FF-AIW-02</x:v>
      </x:c>
      <x:c r="B151" s="30" t="str">
        <x:v>Localhost 32</x:v>
      </x:c>
      <x:c r="C151" s="30" t="str">
        <x:v>AI Workstation</x:v>
      </x:c>
      <x:c r="D151" s="30" t="str">
        <x:v>Mid-range</x:v>
      </x:c>
      <x:c r="E151" s="30" t="str">
        <x:v>Graphics</x:v>
      </x:c>
      <x:c r="F151" s="30" t="str">
        <x:v>ASRock AMD Radeon AI PRO R9700 Creator 32GB</x:v>
      </x:c>
      <x:c r="G151" s="31" t="n">
        <x:v>1200</x:v>
      </x:c>
      <x:c r="H151" s="30" t="str">
        <x:v>Indicative UK procurement budget</x:v>
      </x:c>
      <x:c r="I151" s="30" t="str">
        <x:v>32GB VRAM is the headline. Be explicit that NVIDIA/CUDA software compatibility is broader than AMD/ROCm.</x:v>
      </x:c>
    </x:row>
    <x:row r="152" ht="34" customHeight="1">
      <x:c r="A152" s="30" t="str">
        <x:v>FF-AIW-02</x:v>
      </x:c>
      <x:c r="B152" s="30" t="str">
        <x:v>Localhost 32</x:v>
      </x:c>
      <x:c r="C152" s="30" t="str">
        <x:v>AI Workstation</x:v>
      </x:c>
      <x:c r="D152" s="30" t="str">
        <x:v>Mid-range</x:v>
      </x:c>
      <x:c r="E152" s="30" t="str">
        <x:v>Primary storage</x:v>
      </x:c>
      <x:c r="F152" s="30" t="str">
        <x:v>4TB PCIe 4.0 NVMe SSD</x:v>
      </x:c>
      <x:c r="G152" s="31" t="n">
        <x:v>220</x:v>
      </x:c>
      <x:c r="H152" s="30" t="str">
        <x:v>Indicative UK procurement budget</x:v>
      </x:c>
      <x:c r="I152" s="30" t="str">
        <x:v>32GB VRAM is the headline. Be explicit that NVIDIA/CUDA software compatibility is broader than AMD/ROCm.</x:v>
      </x:c>
    </x:row>
    <x:row r="153" ht="34" customHeight="1">
      <x:c r="A153" s="30" t="str">
        <x:v>FF-AIW-02</x:v>
      </x:c>
      <x:c r="B153" s="30" t="str">
        <x:v>Localhost 32</x:v>
      </x:c>
      <x:c r="C153" s="30" t="str">
        <x:v>AI Workstation</x:v>
      </x:c>
      <x:c r="D153" s="30" t="str">
        <x:v>Mid-range</x:v>
      </x:c>
      <x:c r="E153" s="30" t="str">
        <x:v>Case</x:v>
      </x:c>
      <x:c r="F153" s="30" t="str">
        <x:v>Fractal Design Meshify 2 XL</x:v>
      </x:c>
      <x:c r="G153" s="31" t="n">
        <x:v>180</x:v>
      </x:c>
      <x:c r="H153" s="30" t="str">
        <x:v>Indicative UK procurement budget</x:v>
      </x:c>
      <x:c r="I153" s="30" t="str">
        <x:v>32GB VRAM is the headline. Be explicit that NVIDIA/CUDA software compatibility is broader than AMD/ROCm.</x:v>
      </x:c>
    </x:row>
    <x:row r="154" ht="34" customHeight="1">
      <x:c r="A154" s="30" t="str">
        <x:v>FF-AIW-02</x:v>
      </x:c>
      <x:c r="B154" s="30" t="str">
        <x:v>Localhost 32</x:v>
      </x:c>
      <x:c r="C154" s="30" t="str">
        <x:v>AI Workstation</x:v>
      </x:c>
      <x:c r="D154" s="30" t="str">
        <x:v>Mid-range</x:v>
      </x:c>
      <x:c r="E154" s="30" t="str">
        <x:v>Power supply</x:v>
      </x:c>
      <x:c r="F154" s="30" t="str">
        <x:v>Corsair RM1000x 1000W 80+ Gold</x:v>
      </x:c>
      <x:c r="G154" s="31" t="n">
        <x:v>180</x:v>
      </x:c>
      <x:c r="H154" s="30" t="str">
        <x:v>Indicative UK procurement budget</x:v>
      </x:c>
      <x:c r="I154" s="30" t="str">
        <x:v>32GB VRAM is the headline. Be explicit that NVIDIA/CUDA software compatibility is broader than AMD/ROCm.</x:v>
      </x:c>
    </x:row>
    <x:row r="155" ht="34" customHeight="1">
      <x:c r="A155" s="30" t="str">
        <x:v>FF-AIW-02</x:v>
      </x:c>
      <x:c r="B155" s="30" t="str">
        <x:v>Localhost 32</x:v>
      </x:c>
      <x:c r="C155" s="30" t="str">
        <x:v>AI Workstation</x:v>
      </x:c>
      <x:c r="D155" s="30" t="str">
        <x:v>Mid-range</x:v>
      </x:c>
      <x:c r="E155" s="30" t="str">
        <x:v>CPU cooling</x:v>
      </x:c>
      <x:c r="F155" s="30" t="str">
        <x:v>Arctic Liquid Freezer III 360</x:v>
      </x:c>
      <x:c r="G155" s="31" t="n">
        <x:v>90</x:v>
      </x:c>
      <x:c r="H155" s="30" t="str">
        <x:v>Indicative UK procurement budget</x:v>
      </x:c>
      <x:c r="I155" s="30" t="str">
        <x:v>32GB VRAM is the headline. Be explicit that NVIDIA/CUDA software compatibility is broader than AMD/ROCm.</x:v>
      </x:c>
    </x:row>
    <x:row r="156" ht="34" customHeight="1">
      <x:c r="A156" s="30" t="str">
        <x:v>FF-AIW-02</x:v>
      </x:c>
      <x:c r="B156" s="30" t="str">
        <x:v>Localhost 32</x:v>
      </x:c>
      <x:c r="C156" s="30" t="str">
        <x:v>AI Workstation</x:v>
      </x:c>
      <x:c r="D156" s="30" t="str">
        <x:v>Mid-range</x:v>
      </x:c>
      <x:c r="E156" s="30" t="str">
        <x:v>Operating system</x:v>
      </x:c>
      <x:c r="F156" s="30" t="str">
        <x:v>Ubuntu 24.04 LTS + Windows 11 Pro dual-boot</x:v>
      </x:c>
      <x:c r="G156" s="31" t="n">
        <x:v>0</x:v>
      </x:c>
      <x:c r="H156" s="30" t="str">
        <x:v>Indicative UK procurement budget</x:v>
      </x:c>
      <x:c r="I156" s="30" t="str">
        <x:v>32GB VRAM is the headline. Be explicit that NVIDIA/CUDA software compatibility is broader than AMD/ROCm.</x:v>
      </x:c>
    </x:row>
    <x:row r="157" ht="34" customHeight="1">
      <x:c r="A157" s="30" t="str">
        <x:v>FF-AIW-03</x:v>
      </x:c>
      <x:c r="B157" s="30" t="str">
        <x:v>Localhost 48</x:v>
      </x:c>
      <x:c r="C157" s="30" t="str">
        <x:v>AI Workstation</x:v>
      </x:c>
      <x:c r="D157" s="30" t="str">
        <x:v>High-end</x:v>
      </x:c>
      <x:c r="E157" s="30" t="str">
        <x:v>CPU / APU</x:v>
      </x:c>
      <x:c r="F157" s="30" t="str">
        <x:v>AMD Ryzen Threadripper PRO 7975WX</x:v>
      </x:c>
      <x:c r="G157" s="31" t="n">
        <x:v>2100</x:v>
      </x:c>
      <x:c r="H157" s="30" t="str">
        <x:v>Indicative UK procurement budget</x:v>
      </x:c>
      <x:c r="I157" s="30" t="str">
        <x:v>Built for workstation stability and future GPU expansion; price as a consultation-led bespoke system.</x:v>
      </x:c>
    </x:row>
    <x:row r="158" ht="34" customHeight="1">
      <x:c r="A158" s="30" t="str">
        <x:v>FF-AIW-03</x:v>
      </x:c>
      <x:c r="B158" s="30" t="str">
        <x:v>Localhost 48</x:v>
      </x:c>
      <x:c r="C158" s="30" t="str">
        <x:v>AI Workstation</x:v>
      </x:c>
      <x:c r="D158" s="30" t="str">
        <x:v>High-end</x:v>
      </x:c>
      <x:c r="E158" s="30" t="str">
        <x:v>Motherboard</x:v>
      </x:c>
      <x:c r="F158" s="30" t="str">
        <x:v>ASUS Pro WS WRX90E-SAGE SE</x:v>
      </x:c>
      <x:c r="G158" s="31" t="n">
        <x:v>1250</x:v>
      </x:c>
      <x:c r="H158" s="30" t="str">
        <x:v>Indicative UK procurement budget</x:v>
      </x:c>
      <x:c r="I158" s="30" t="str">
        <x:v>Built for workstation stability and future GPU expansion; price as a consultation-led bespoke system.</x:v>
      </x:c>
    </x:row>
    <x:row r="159" ht="34" customHeight="1">
      <x:c r="A159" s="30" t="str">
        <x:v>FF-AIW-03</x:v>
      </x:c>
      <x:c r="B159" s="30" t="str">
        <x:v>Localhost 48</x:v>
      </x:c>
      <x:c r="C159" s="30" t="str">
        <x:v>AI Workstation</x:v>
      </x:c>
      <x:c r="D159" s="30" t="str">
        <x:v>High-end</x:v>
      </x:c>
      <x:c r="E159" s="30" t="str">
        <x:v>Memory</x:v>
      </x:c>
      <x:c r="F159" s="30" t="str">
        <x:v>256GB (8x32GB) DDR5 ECC RDIMM</x:v>
      </x:c>
      <x:c r="G159" s="31" t="n">
        <x:v>1600</x:v>
      </x:c>
      <x:c r="H159" s="30" t="str">
        <x:v>Indicative UK procurement budget</x:v>
      </x:c>
      <x:c r="I159" s="30" t="str">
        <x:v>Built for workstation stability and future GPU expansion; price as a consultation-led bespoke system.</x:v>
      </x:c>
    </x:row>
    <x:row r="160" ht="34" customHeight="1">
      <x:c r="A160" s="30" t="str">
        <x:v>FF-AIW-03</x:v>
      </x:c>
      <x:c r="B160" s="30" t="str">
        <x:v>Localhost 48</x:v>
      </x:c>
      <x:c r="C160" s="30" t="str">
        <x:v>AI Workstation</x:v>
      </x:c>
      <x:c r="D160" s="30" t="str">
        <x:v>High-end</x:v>
      </x:c>
      <x:c r="E160" s="30" t="str">
        <x:v>Graphics</x:v>
      </x:c>
      <x:c r="F160" s="30" t="str">
        <x:v>NVIDIA RTX 6000 Ada 48GB</x:v>
      </x:c>
      <x:c r="G160" s="31" t="n">
        <x:v>6500</x:v>
      </x:c>
      <x:c r="H160" s="30" t="str">
        <x:v>Indicative UK procurement budget</x:v>
      </x:c>
      <x:c r="I160" s="30" t="str">
        <x:v>Built for workstation stability and future GPU expansion; price as a consultation-led bespoke system.</x:v>
      </x:c>
    </x:row>
    <x:row r="161" ht="34" customHeight="1">
      <x:c r="A161" s="30" t="str">
        <x:v>FF-AIW-03</x:v>
      </x:c>
      <x:c r="B161" s="30" t="str">
        <x:v>Localhost 48</x:v>
      </x:c>
      <x:c r="C161" s="30" t="str">
        <x:v>AI Workstation</x:v>
      </x:c>
      <x:c r="D161" s="30" t="str">
        <x:v>High-end</x:v>
      </x:c>
      <x:c r="E161" s="30" t="str">
        <x:v>Primary storage</x:v>
      </x:c>
      <x:c r="F161" s="30" t="str">
        <x:v>4TB PCIe 4.0 NVMe SSD + 8TB data SSD</x:v>
      </x:c>
      <x:c r="G161" s="31" t="n">
        <x:v>720</x:v>
      </x:c>
      <x:c r="H161" s="30" t="str">
        <x:v>Indicative UK procurement budget</x:v>
      </x:c>
      <x:c r="I161" s="30" t="str">
        <x:v>Built for workstation stability and future GPU expansion; price as a consultation-led bespoke system.</x:v>
      </x:c>
    </x:row>
    <x:row r="162" ht="34" customHeight="1">
      <x:c r="A162" s="30" t="str">
        <x:v>FF-AIW-03</x:v>
      </x:c>
      <x:c r="B162" s="30" t="str">
        <x:v>Localhost 48</x:v>
      </x:c>
      <x:c r="C162" s="30" t="str">
        <x:v>AI Workstation</x:v>
      </x:c>
      <x:c r="D162" s="30" t="str">
        <x:v>High-end</x:v>
      </x:c>
      <x:c r="E162" s="30" t="str">
        <x:v>Case</x:v>
      </x:c>
      <x:c r="F162" s="30" t="str">
        <x:v>Corsair 9000D Airflow</x:v>
      </x:c>
      <x:c r="G162" s="31" t="n">
        <x:v>500</x:v>
      </x:c>
      <x:c r="H162" s="30" t="str">
        <x:v>Indicative UK procurement budget</x:v>
      </x:c>
      <x:c r="I162" s="30" t="str">
        <x:v>Built for workstation stability and future GPU expansion; price as a consultation-led bespoke system.</x:v>
      </x:c>
    </x:row>
    <x:row r="163" ht="34" customHeight="1">
      <x:c r="A163" s="30" t="str">
        <x:v>FF-AIW-03</x:v>
      </x:c>
      <x:c r="B163" s="30" t="str">
        <x:v>Localhost 48</x:v>
      </x:c>
      <x:c r="C163" s="30" t="str">
        <x:v>AI Workstation</x:v>
      </x:c>
      <x:c r="D163" s="30" t="str">
        <x:v>High-end</x:v>
      </x:c>
      <x:c r="E163" s="30" t="str">
        <x:v>Power supply</x:v>
      </x:c>
      <x:c r="F163" s="30" t="str">
        <x:v>Corsair AX1600i 1600W 80+ Titanium</x:v>
      </x:c>
      <x:c r="G163" s="31" t="n">
        <x:v>550</x:v>
      </x:c>
      <x:c r="H163" s="30" t="str">
        <x:v>Indicative UK procurement budget</x:v>
      </x:c>
      <x:c r="I163" s="30" t="str">
        <x:v>Built for workstation stability and future GPU expansion; price as a consultation-led bespoke system.</x:v>
      </x:c>
    </x:row>
    <x:row r="164" ht="34" customHeight="1">
      <x:c r="A164" s="30" t="str">
        <x:v>FF-AIW-03</x:v>
      </x:c>
      <x:c r="B164" s="30" t="str">
        <x:v>Localhost 48</x:v>
      </x:c>
      <x:c r="C164" s="30" t="str">
        <x:v>AI Workstation</x:v>
      </x:c>
      <x:c r="D164" s="30" t="str">
        <x:v>High-end</x:v>
      </x:c>
      <x:c r="E164" s="30" t="str">
        <x:v>CPU cooling</x:v>
      </x:c>
      <x:c r="F164" s="30" t="str">
        <x:v>Noctua NH-U14S TR5-SP6</x:v>
      </x:c>
      <x:c r="G164" s="31" t="n">
        <x:v>130</x:v>
      </x:c>
      <x:c r="H164" s="30" t="str">
        <x:v>Indicative UK procurement budget</x:v>
      </x:c>
      <x:c r="I164" s="30" t="str">
        <x:v>Built for workstation stability and future GPU expansion; price as a consultation-led bespoke system.</x:v>
      </x:c>
    </x:row>
    <x:row r="165" ht="34" customHeight="1">
      <x:c r="A165" s="30" t="str">
        <x:v>FF-AIW-03</x:v>
      </x:c>
      <x:c r="B165" s="30" t="str">
        <x:v>Localhost 48</x:v>
      </x:c>
      <x:c r="C165" s="30" t="str">
        <x:v>AI Workstation</x:v>
      </x:c>
      <x:c r="D165" s="30" t="str">
        <x:v>High-end</x:v>
      </x:c>
      <x:c r="E165" s="30" t="str">
        <x:v>Operating system</x:v>
      </x:c>
      <x:c r="F165" s="30" t="str">
        <x:v>Ubuntu 24.04 LTS + Windows 11 Pro</x:v>
      </x:c>
      <x:c r="G165" s="31" t="n">
        <x:v>0</x:v>
      </x:c>
      <x:c r="H165" s="30" t="str">
        <x:v>Indicative UK procurement budget</x:v>
      </x:c>
      <x:c r="I165" s="30" t="str">
        <x:v>Built for workstation stability and future GPU expansion; price as a consultation-led bespoke system.</x:v>
      </x:c>
    </x:row>
    <x:row r="166" ht="34" customHeight="1">
      <x:c r="A166" s="30" t="str">
        <x:v>FF-SWD-01</x:v>
      </x:c>
      <x:c r="B166" s="30" t="str">
        <x:v>Codebase</x:v>
      </x:c>
      <x:c r="C166" s="30" t="str">
        <x:v>Software Development</x:v>
      </x:c>
      <x:c r="D166" s="30" t="str">
        <x:v>Budget</x:v>
      </x:c>
      <x:c r="E166" s="30" t="str">
        <x:v>CPU / APU</x:v>
      </x:c>
      <x:c r="F166" s="30" t="str">
        <x:v>AMD Ryzen 5 9600X</x:v>
      </x:c>
      <x:c r="G166" s="31" t="n">
        <x:v>205</x:v>
      </x:c>
      <x:c r="H166" s="30" t="str">
        <x:v>Indicative UK procurement budget</x:v>
      </x:c>
      <x:c r="I166" s="30" t="str">
        <x:v>Make RAM, fast storage and quiet cooling the value story.</x:v>
      </x:c>
    </x:row>
    <x:row r="167" ht="34" customHeight="1">
      <x:c r="A167" s="30" t="str">
        <x:v>FF-SWD-01</x:v>
      </x:c>
      <x:c r="B167" s="30" t="str">
        <x:v>Codebase</x:v>
      </x:c>
      <x:c r="C167" s="30" t="str">
        <x:v>Software Development</x:v>
      </x:c>
      <x:c r="D167" s="30" t="str">
        <x:v>Budget</x:v>
      </x:c>
      <x:c r="E167" s="30" t="str">
        <x:v>Motherboard</x:v>
      </x:c>
      <x:c r="F167" s="30" t="str">
        <x:v>MSI B850 GAMING PLUS WIFI</x:v>
      </x:c>
      <x:c r="G167" s="31" t="n">
        <x:v>165</x:v>
      </x:c>
      <x:c r="H167" s="30" t="str">
        <x:v>Indicative UK procurement budget</x:v>
      </x:c>
      <x:c r="I167" s="30" t="str">
        <x:v>Make RAM, fast storage and quiet cooling the value story.</x:v>
      </x:c>
    </x:row>
    <x:row r="168" ht="34" customHeight="1">
      <x:c r="A168" s="30" t="str">
        <x:v>FF-SWD-01</x:v>
      </x:c>
      <x:c r="B168" s="30" t="str">
        <x:v>Codebase</x:v>
      </x:c>
      <x:c r="C168" s="30" t="str">
        <x:v>Software Development</x:v>
      </x:c>
      <x:c r="D168" s="30" t="str">
        <x:v>Budget</x:v>
      </x:c>
      <x:c r="E168" s="30" t="str">
        <x:v>Memory</x:v>
      </x:c>
      <x:c r="F168" s="30" t="str">
        <x:v>64GB (2x32GB) DDR5-6000 CL30</x:v>
      </x:c>
      <x:c r="G168" s="31" t="n">
        <x:v>220</x:v>
      </x:c>
      <x:c r="H168" s="30" t="str">
        <x:v>Indicative UK procurement budget</x:v>
      </x:c>
      <x:c r="I168" s="30" t="str">
        <x:v>Make RAM, fast storage and quiet cooling the value story.</x:v>
      </x:c>
    </x:row>
    <x:row r="169" ht="34" customHeight="1">
      <x:c r="A169" s="30" t="str">
        <x:v>FF-SWD-01</x:v>
      </x:c>
      <x:c r="B169" s="30" t="str">
        <x:v>Codebase</x:v>
      </x:c>
      <x:c r="C169" s="30" t="str">
        <x:v>Software Development</x:v>
      </x:c>
      <x:c r="D169" s="30" t="str">
        <x:v>Budget</x:v>
      </x:c>
      <x:c r="E169" s="30" t="str">
        <x:v>Graphics</x:v>
      </x:c>
      <x:c r="F169" s="30" t="str">
        <x:v>Intel Arc B580 12GB</x:v>
      </x:c>
      <x:c r="G169" s="31" t="n">
        <x:v>250</x:v>
      </x:c>
      <x:c r="H169" s="30" t="str">
        <x:v>Indicative UK procurement budget</x:v>
      </x:c>
      <x:c r="I169" s="30" t="str">
        <x:v>Make RAM, fast storage and quiet cooling the value story.</x:v>
      </x:c>
    </x:row>
    <x:row r="170" ht="34" customHeight="1">
      <x:c r="A170" s="30" t="str">
        <x:v>FF-SWD-01</x:v>
      </x:c>
      <x:c r="B170" s="30" t="str">
        <x:v>Codebase</x:v>
      </x:c>
      <x:c r="C170" s="30" t="str">
        <x:v>Software Development</x:v>
      </x:c>
      <x:c r="D170" s="30" t="str">
        <x:v>Budget</x:v>
      </x:c>
      <x:c r="E170" s="30" t="str">
        <x:v>Primary storage</x:v>
      </x:c>
      <x:c r="F170" s="30" t="str">
        <x:v>2TB PCIe 4.0 NVMe SSD</x:v>
      </x:c>
      <x:c r="G170" s="31" t="n">
        <x:v>110</x:v>
      </x:c>
      <x:c r="H170" s="30" t="str">
        <x:v>Indicative UK procurement budget</x:v>
      </x:c>
      <x:c r="I170" s="30" t="str">
        <x:v>Make RAM, fast storage and quiet cooling the value story.</x:v>
      </x:c>
    </x:row>
    <x:row r="171" ht="34" customHeight="1">
      <x:c r="A171" s="30" t="str">
        <x:v>FF-SWD-01</x:v>
      </x:c>
      <x:c r="B171" s="30" t="str">
        <x:v>Codebase</x:v>
      </x:c>
      <x:c r="C171" s="30" t="str">
        <x:v>Software Development</x:v>
      </x:c>
      <x:c r="D171" s="30" t="str">
        <x:v>Budget</x:v>
      </x:c>
      <x:c r="E171" s="30" t="str">
        <x:v>Case</x:v>
      </x:c>
      <x:c r="F171" s="30" t="str">
        <x:v>Fractal Design Pop Air</x:v>
      </x:c>
      <x:c r="G171" s="31" t="n">
        <x:v>75</x:v>
      </x:c>
      <x:c r="H171" s="30" t="str">
        <x:v>Indicative UK procurement budget</x:v>
      </x:c>
      <x:c r="I171" s="30" t="str">
        <x:v>Make RAM, fast storage and quiet cooling the value story.</x:v>
      </x:c>
    </x:row>
    <x:row r="172" ht="34" customHeight="1">
      <x:c r="A172" s="30" t="str">
        <x:v>FF-SWD-01</x:v>
      </x:c>
      <x:c r="B172" s="30" t="str">
        <x:v>Codebase</x:v>
      </x:c>
      <x:c r="C172" s="30" t="str">
        <x:v>Software Development</x:v>
      </x:c>
      <x:c r="D172" s="30" t="str">
        <x:v>Budget</x:v>
      </x:c>
      <x:c r="E172" s="30" t="str">
        <x:v>Power supply</x:v>
      </x:c>
      <x:c r="F172" s="30" t="str">
        <x:v>Corsair RM650e 650W 80+ Gold</x:v>
      </x:c>
      <x:c r="G172" s="31" t="n">
        <x:v>85</x:v>
      </x:c>
      <x:c r="H172" s="30" t="str">
        <x:v>Indicative UK procurement budget</x:v>
      </x:c>
      <x:c r="I172" s="30" t="str">
        <x:v>Make RAM, fast storage and quiet cooling the value story.</x:v>
      </x:c>
    </x:row>
    <x:row r="173" ht="34" customHeight="1">
      <x:c r="A173" s="30" t="str">
        <x:v>FF-SWD-01</x:v>
      </x:c>
      <x:c r="B173" s="30" t="str">
        <x:v>Codebase</x:v>
      </x:c>
      <x:c r="C173" s="30" t="str">
        <x:v>Software Development</x:v>
      </x:c>
      <x:c r="D173" s="30" t="str">
        <x:v>Budget</x:v>
      </x:c>
      <x:c r="E173" s="30" t="str">
        <x:v>CPU cooling</x:v>
      </x:c>
      <x:c r="F173" s="30" t="str">
        <x:v>Thermalright Peerless Assassin 120 SE</x:v>
      </x:c>
      <x:c r="G173" s="31" t="n">
        <x:v>35</x:v>
      </x:c>
      <x:c r="H173" s="30" t="str">
        <x:v>Indicative UK procurement budget</x:v>
      </x:c>
      <x:c r="I173" s="30" t="str">
        <x:v>Make RAM, fast storage and quiet cooling the value story.</x:v>
      </x:c>
    </x:row>
    <x:row r="174" ht="34" customHeight="1">
      <x:c r="A174" s="30" t="str">
        <x:v>FF-SWD-01</x:v>
      </x:c>
      <x:c r="B174" s="30" t="str">
        <x:v>Codebase</x:v>
      </x:c>
      <x:c r="C174" s="30" t="str">
        <x:v>Software Development</x:v>
      </x:c>
      <x:c r="D174" s="30" t="str">
        <x:v>Budget</x:v>
      </x:c>
      <x:c r="E174" s="30" t="str">
        <x:v>Operating system</x:v>
      </x:c>
      <x:c r="F174" s="30" t="str">
        <x:v>Windows 11 Pro + WSL2</x:v>
      </x:c>
      <x:c r="G174" s="31" t="n">
        <x:v>0</x:v>
      </x:c>
      <x:c r="H174" s="30" t="str">
        <x:v>Indicative UK procurement budget</x:v>
      </x:c>
      <x:c r="I174" s="30" t="str">
        <x:v>Make RAM, fast storage and quiet cooling the value story.</x:v>
      </x:c>
    </x:row>
    <x:row r="175" ht="34" customHeight="1">
      <x:c r="A175" s="30" t="str">
        <x:v>FF-SWD-02</x:v>
      </x:c>
      <x:c r="B175" s="30" t="str">
        <x:v>Compiler</x:v>
      </x:c>
      <x:c r="C175" s="30" t="str">
        <x:v>Software Development</x:v>
      </x:c>
      <x:c r="D175" s="30" t="str">
        <x:v>Mid-range</x:v>
      </x:c>
      <x:c r="E175" s="30" t="str">
        <x:v>CPU / APU</x:v>
      </x:c>
      <x:c r="F175" s="30" t="str">
        <x:v>Intel Core Ultra 7 270K Plus</x:v>
      </x:c>
      <x:c r="G175" s="31" t="n">
        <x:v>320</x:v>
      </x:c>
      <x:c r="H175" s="30" t="str">
        <x:v>Indicative UK procurement budget</x:v>
      </x:c>
      <x:c r="I175" s="30" t="str">
        <x:v>Good flagship developer workstation without paying for a 5090.</x:v>
      </x:c>
    </x:row>
    <x:row r="176" ht="34" customHeight="1">
      <x:c r="A176" s="30" t="str">
        <x:v>FF-SWD-02</x:v>
      </x:c>
      <x:c r="B176" s="30" t="str">
        <x:v>Compiler</x:v>
      </x:c>
      <x:c r="C176" s="30" t="str">
        <x:v>Software Development</x:v>
      </x:c>
      <x:c r="D176" s="30" t="str">
        <x:v>Mid-range</x:v>
      </x:c>
      <x:c r="E176" s="30" t="str">
        <x:v>Motherboard</x:v>
      </x:c>
      <x:c r="F176" s="30" t="str">
        <x:v>ASUS ProArt Z890-CREATOR WIFI</x:v>
      </x:c>
      <x:c r="G176" s="31" t="n">
        <x:v>500</x:v>
      </x:c>
      <x:c r="H176" s="30" t="str">
        <x:v>Indicative UK procurement budget</x:v>
      </x:c>
      <x:c r="I176" s="30" t="str">
        <x:v>Good flagship developer workstation without paying for a 5090.</x:v>
      </x:c>
    </x:row>
    <x:row r="177" ht="34" customHeight="1">
      <x:c r="A177" s="30" t="str">
        <x:v>FF-SWD-02</x:v>
      </x:c>
      <x:c r="B177" s="30" t="str">
        <x:v>Compiler</x:v>
      </x:c>
      <x:c r="C177" s="30" t="str">
        <x:v>Software Development</x:v>
      </x:c>
      <x:c r="D177" s="30" t="str">
        <x:v>Mid-range</x:v>
      </x:c>
      <x:c r="E177" s="30" t="str">
        <x:v>Memory</x:v>
      </x:c>
      <x:c r="F177" s="30" t="str">
        <x:v>96GB (2x48GB) DDR5-6400</x:v>
      </x:c>
      <x:c r="G177" s="31" t="n">
        <x:v>330</x:v>
      </x:c>
      <x:c r="H177" s="30" t="str">
        <x:v>Indicative UK procurement budget</x:v>
      </x:c>
      <x:c r="I177" s="30" t="str">
        <x:v>Good flagship developer workstation without paying for a 5090.</x:v>
      </x:c>
    </x:row>
    <x:row r="178" ht="34" customHeight="1">
      <x:c r="A178" s="30" t="str">
        <x:v>FF-SWD-02</x:v>
      </x:c>
      <x:c r="B178" s="30" t="str">
        <x:v>Compiler</x:v>
      </x:c>
      <x:c r="C178" s="30" t="str">
        <x:v>Software Development</x:v>
      </x:c>
      <x:c r="D178" s="30" t="str">
        <x:v>Mid-range</x:v>
      </x:c>
      <x:c r="E178" s="30" t="str">
        <x:v>Graphics</x:v>
      </x:c>
      <x:c r="F178" s="30" t="str">
        <x:v>NVIDIA GeForce RTX 5060 Ti 16GB</x:v>
      </x:c>
      <x:c r="G178" s="31" t="n">
        <x:v>650</x:v>
      </x:c>
      <x:c r="H178" s="30" t="str">
        <x:v>Indicative UK procurement budget</x:v>
      </x:c>
      <x:c r="I178" s="30" t="str">
        <x:v>Good flagship developer workstation without paying for a 5090.</x:v>
      </x:c>
    </x:row>
    <x:row r="179" ht="34" customHeight="1">
      <x:c r="A179" s="30" t="str">
        <x:v>FF-SWD-02</x:v>
      </x:c>
      <x:c r="B179" s="30" t="str">
        <x:v>Compiler</x:v>
      </x:c>
      <x:c r="C179" s="30" t="str">
        <x:v>Software Development</x:v>
      </x:c>
      <x:c r="D179" s="30" t="str">
        <x:v>Mid-range</x:v>
      </x:c>
      <x:c r="E179" s="30" t="str">
        <x:v>Primary storage</x:v>
      </x:c>
      <x:c r="F179" s="30" t="str">
        <x:v>4TB PCIe 4.0 NVMe SSD</x:v>
      </x:c>
      <x:c r="G179" s="31" t="n">
        <x:v>220</x:v>
      </x:c>
      <x:c r="H179" s="30" t="str">
        <x:v>Indicative UK procurement budget</x:v>
      </x:c>
      <x:c r="I179" s="30" t="str">
        <x:v>Good flagship developer workstation without paying for a 5090.</x:v>
      </x:c>
    </x:row>
    <x:row r="180" ht="34" customHeight="1">
      <x:c r="A180" s="30" t="str">
        <x:v>FF-SWD-02</x:v>
      </x:c>
      <x:c r="B180" s="30" t="str">
        <x:v>Compiler</x:v>
      </x:c>
      <x:c r="C180" s="30" t="str">
        <x:v>Software Development</x:v>
      </x:c>
      <x:c r="D180" s="30" t="str">
        <x:v>Mid-range</x:v>
      </x:c>
      <x:c r="E180" s="30" t="str">
        <x:v>Case</x:v>
      </x:c>
      <x:c r="F180" s="30" t="str">
        <x:v>Fractal Design North</x:v>
      </x:c>
      <x:c r="G180" s="31" t="n">
        <x:v>140</x:v>
      </x:c>
      <x:c r="H180" s="30" t="str">
        <x:v>Indicative UK procurement budget</x:v>
      </x:c>
      <x:c r="I180" s="30" t="str">
        <x:v>Good flagship developer workstation without paying for a 5090.</x:v>
      </x:c>
    </x:row>
    <x:row r="181" ht="34" customHeight="1">
      <x:c r="A181" s="30" t="str">
        <x:v>FF-SWD-02</x:v>
      </x:c>
      <x:c r="B181" s="30" t="str">
        <x:v>Compiler</x:v>
      </x:c>
      <x:c r="C181" s="30" t="str">
        <x:v>Software Development</x:v>
      </x:c>
      <x:c r="D181" s="30" t="str">
        <x:v>Mid-range</x:v>
      </x:c>
      <x:c r="E181" s="30" t="str">
        <x:v>Power supply</x:v>
      </x:c>
      <x:c r="F181" s="30" t="str">
        <x:v>Corsair RM850e 850W 80+ Gold</x:v>
      </x:c>
      <x:c r="G181" s="31" t="n">
        <x:v>120</x:v>
      </x:c>
      <x:c r="H181" s="30" t="str">
        <x:v>Indicative UK procurement budget</x:v>
      </x:c>
      <x:c r="I181" s="30" t="str">
        <x:v>Good flagship developer workstation without paying for a 5090.</x:v>
      </x:c>
    </x:row>
    <x:row r="182" ht="34" customHeight="1">
      <x:c r="A182" s="30" t="str">
        <x:v>FF-SWD-02</x:v>
      </x:c>
      <x:c r="B182" s="30" t="str">
        <x:v>Compiler</x:v>
      </x:c>
      <x:c r="C182" s="30" t="str">
        <x:v>Software Development</x:v>
      </x:c>
      <x:c r="D182" s="30" t="str">
        <x:v>Mid-range</x:v>
      </x:c>
      <x:c r="E182" s="30" t="str">
        <x:v>CPU cooling</x:v>
      </x:c>
      <x:c r="F182" s="30" t="str">
        <x:v>Noctua NH-D15 G2</x:v>
      </x:c>
      <x:c r="G182" s="31" t="n">
        <x:v>130</x:v>
      </x:c>
      <x:c r="H182" s="30" t="str">
        <x:v>Indicative UK procurement budget</x:v>
      </x:c>
      <x:c r="I182" s="30" t="str">
        <x:v>Good flagship developer workstation without paying for a 5090.</x:v>
      </x:c>
    </x:row>
    <x:row r="183" ht="34" customHeight="1">
      <x:c r="A183" s="30" t="str">
        <x:v>FF-SWD-02</x:v>
      </x:c>
      <x:c r="B183" s="30" t="str">
        <x:v>Compiler</x:v>
      </x:c>
      <x:c r="C183" s="30" t="str">
        <x:v>Software Development</x:v>
      </x:c>
      <x:c r="D183" s="30" t="str">
        <x:v>Mid-range</x:v>
      </x:c>
      <x:c r="E183" s="30" t="str">
        <x:v>Operating system</x:v>
      </x:c>
      <x:c r="F183" s="30" t="str">
        <x:v>Windows 11 Pro + Ubuntu VM</x:v>
      </x:c>
      <x:c r="G183" s="31" t="n">
        <x:v>0</x:v>
      </x:c>
      <x:c r="H183" s="30" t="str">
        <x:v>Indicative UK procurement budget</x:v>
      </x:c>
      <x:c r="I183" s="30" t="str">
        <x:v>Good flagship developer workstation without paying for a 5090.</x:v>
      </x:c>
    </x:row>
    <x:row r="184" ht="34" customHeight="1">
      <x:c r="A184" s="30" t="str">
        <x:v>FF-SWD-03</x:v>
      </x:c>
      <x:c r="B184" s="30" t="str">
        <x:v>Shipyard</x:v>
      </x:c>
      <x:c r="C184" s="30" t="str">
        <x:v>Software Development</x:v>
      </x:c>
      <x:c r="D184" s="30" t="str">
        <x:v>High-end</x:v>
      </x:c>
      <x:c r="E184" s="30" t="str">
        <x:v>CPU / APU</x:v>
      </x:c>
      <x:c r="F184" s="30" t="str">
        <x:v>AMD Ryzen 9 9950X</x:v>
      </x:c>
      <x:c r="G184" s="31" t="n">
        <x:v>450</x:v>
      </x:c>
      <x:c r="H184" s="30" t="str">
        <x:v>Indicative UK procurement budget</x:v>
      </x:c>
      <x:c r="I184" s="30" t="str">
        <x:v>A polished option for an agency, founder or developer who wants no local compromises.</x:v>
      </x:c>
    </x:row>
    <x:row r="185" ht="34" customHeight="1">
      <x:c r="A185" s="30" t="str">
        <x:v>FF-SWD-03</x:v>
      </x:c>
      <x:c r="B185" s="30" t="str">
        <x:v>Shipyard</x:v>
      </x:c>
      <x:c r="C185" s="30" t="str">
        <x:v>Software Development</x:v>
      </x:c>
      <x:c r="D185" s="30" t="str">
        <x:v>High-end</x:v>
      </x:c>
      <x:c r="E185" s="30" t="str">
        <x:v>Motherboard</x:v>
      </x:c>
      <x:c r="F185" s="30" t="str">
        <x:v>ASUS ProArt X870E-Creator WiFi</x:v>
      </x:c>
      <x:c r="G185" s="31" t="n">
        <x:v>450</x:v>
      </x:c>
      <x:c r="H185" s="30" t="str">
        <x:v>Indicative UK procurement budget</x:v>
      </x:c>
      <x:c r="I185" s="30" t="str">
        <x:v>A polished option for an agency, founder or developer who wants no local compromises.</x:v>
      </x:c>
    </x:row>
    <x:row r="186" ht="34" customHeight="1">
      <x:c r="A186" s="30" t="str">
        <x:v>FF-SWD-03</x:v>
      </x:c>
      <x:c r="B186" s="30" t="str">
        <x:v>Shipyard</x:v>
      </x:c>
      <x:c r="C186" s="30" t="str">
        <x:v>Software Development</x:v>
      </x:c>
      <x:c r="D186" s="30" t="str">
        <x:v>High-end</x:v>
      </x:c>
      <x:c r="E186" s="30" t="str">
        <x:v>Memory</x:v>
      </x:c>
      <x:c r="F186" s="30" t="str">
        <x:v>128GB (4x32GB) DDR5-5600</x:v>
      </x:c>
      <x:c r="G186" s="31" t="n">
        <x:v>420</x:v>
      </x:c>
      <x:c r="H186" s="30" t="str">
        <x:v>Indicative UK procurement budget</x:v>
      </x:c>
      <x:c r="I186" s="30" t="str">
        <x:v>A polished option for an agency, founder or developer who wants no local compromises.</x:v>
      </x:c>
    </x:row>
    <x:row r="187" ht="34" customHeight="1">
      <x:c r="A187" s="30" t="str">
        <x:v>FF-SWD-03</x:v>
      </x:c>
      <x:c r="B187" s="30" t="str">
        <x:v>Shipyard</x:v>
      </x:c>
      <x:c r="C187" s="30" t="str">
        <x:v>Software Development</x:v>
      </x:c>
      <x:c r="D187" s="30" t="str">
        <x:v>High-end</x:v>
      </x:c>
      <x:c r="E187" s="30" t="str">
        <x:v>Graphics</x:v>
      </x:c>
      <x:c r="F187" s="30" t="str">
        <x:v>NVIDIA GeForce RTX 5080 16GB</x:v>
      </x:c>
      <x:c r="G187" s="31" t="n">
        <x:v>1400</x:v>
      </x:c>
      <x:c r="H187" s="30" t="str">
        <x:v>Indicative UK procurement budget</x:v>
      </x:c>
      <x:c r="I187" s="30" t="str">
        <x:v>A polished option for an agency, founder or developer who wants no local compromises.</x:v>
      </x:c>
    </x:row>
    <x:row r="188" ht="34" customHeight="1">
      <x:c r="A188" s="30" t="str">
        <x:v>FF-SWD-03</x:v>
      </x:c>
      <x:c r="B188" s="30" t="str">
        <x:v>Shipyard</x:v>
      </x:c>
      <x:c r="C188" s="30" t="str">
        <x:v>Software Development</x:v>
      </x:c>
      <x:c r="D188" s="30" t="str">
        <x:v>High-end</x:v>
      </x:c>
      <x:c r="E188" s="30" t="str">
        <x:v>Primary storage</x:v>
      </x:c>
      <x:c r="F188" s="30" t="str">
        <x:v>4TB PCIe 4.0 NVMe SSD + 4TB build-cache SSD</x:v>
      </x:c>
      <x:c r="G188" s="31" t="n">
        <x:v>430</x:v>
      </x:c>
      <x:c r="H188" s="30" t="str">
        <x:v>Indicative UK procurement budget</x:v>
      </x:c>
      <x:c r="I188" s="30" t="str">
        <x:v>A polished option for an agency, founder or developer who wants no local compromises.</x:v>
      </x:c>
    </x:row>
    <x:row r="189" ht="34" customHeight="1">
      <x:c r="A189" s="30" t="str">
        <x:v>FF-SWD-03</x:v>
      </x:c>
      <x:c r="B189" s="30" t="str">
        <x:v>Shipyard</x:v>
      </x:c>
      <x:c r="C189" s="30" t="str">
        <x:v>Software Development</x:v>
      </x:c>
      <x:c r="D189" s="30" t="str">
        <x:v>High-end</x:v>
      </x:c>
      <x:c r="E189" s="30" t="str">
        <x:v>Case</x:v>
      </x:c>
      <x:c r="F189" s="30" t="str">
        <x:v>Fractal Design Define 7 XL</x:v>
      </x:c>
      <x:c r="G189" s="31" t="n">
        <x:v>190</x:v>
      </x:c>
      <x:c r="H189" s="30" t="str">
        <x:v>Indicative UK procurement budget</x:v>
      </x:c>
      <x:c r="I189" s="30" t="str">
        <x:v>A polished option for an agency, founder or developer who wants no local compromises.</x:v>
      </x:c>
    </x:row>
    <x:row r="190" ht="34" customHeight="1">
      <x:c r="A190" s="30" t="str">
        <x:v>FF-SWD-03</x:v>
      </x:c>
      <x:c r="B190" s="30" t="str">
        <x:v>Shipyard</x:v>
      </x:c>
      <x:c r="C190" s="30" t="str">
        <x:v>Software Development</x:v>
      </x:c>
      <x:c r="D190" s="30" t="str">
        <x:v>High-end</x:v>
      </x:c>
      <x:c r="E190" s="30" t="str">
        <x:v>Power supply</x:v>
      </x:c>
      <x:c r="F190" s="30" t="str">
        <x:v>Corsair RM1000x 1000W 80+ Gold</x:v>
      </x:c>
      <x:c r="G190" s="31" t="n">
        <x:v>180</x:v>
      </x:c>
      <x:c r="H190" s="30" t="str">
        <x:v>Indicative UK procurement budget</x:v>
      </x:c>
      <x:c r="I190" s="30" t="str">
        <x:v>A polished option for an agency, founder or developer who wants no local compromises.</x:v>
      </x:c>
    </x:row>
    <x:row r="191" ht="34" customHeight="1">
      <x:c r="A191" s="30" t="str">
        <x:v>FF-SWD-03</x:v>
      </x:c>
      <x:c r="B191" s="30" t="str">
        <x:v>Shipyard</x:v>
      </x:c>
      <x:c r="C191" s="30" t="str">
        <x:v>Software Development</x:v>
      </x:c>
      <x:c r="D191" s="30" t="str">
        <x:v>High-end</x:v>
      </x:c>
      <x:c r="E191" s="30" t="str">
        <x:v>CPU cooling</x:v>
      </x:c>
      <x:c r="F191" s="30" t="str">
        <x:v>Arctic Liquid Freezer III 360</x:v>
      </x:c>
      <x:c r="G191" s="31" t="n">
        <x:v>90</x:v>
      </x:c>
      <x:c r="H191" s="30" t="str">
        <x:v>Indicative UK procurement budget</x:v>
      </x:c>
      <x:c r="I191" s="30" t="str">
        <x:v>A polished option for an agency, founder or developer who wants no local compromises.</x:v>
      </x:c>
    </x:row>
    <x:row r="192" ht="34" customHeight="1">
      <x:c r="A192" s="30" t="str">
        <x:v>FF-SWD-03</x:v>
      </x:c>
      <x:c r="B192" s="30" t="str">
        <x:v>Shipyard</x:v>
      </x:c>
      <x:c r="C192" s="30" t="str">
        <x:v>Software Development</x:v>
      </x:c>
      <x:c r="D192" s="30" t="str">
        <x:v>High-end</x:v>
      </x:c>
      <x:c r="E192" s="30" t="str">
        <x:v>Operating system</x:v>
      </x:c>
      <x:c r="F192" s="30" t="str">
        <x:v>Windows 11 Pro + Ubuntu 24.04 dual-boot</x:v>
      </x:c>
      <x:c r="G192" s="31" t="n">
        <x:v>0</x:v>
      </x:c>
      <x:c r="H192" s="30" t="str">
        <x:v>Indicative UK procurement budget</x:v>
      </x:c>
      <x:c r="I192" s="30" t="str">
        <x:v>A polished option for an agency, founder or developer who wants no local compromises.</x:v>
      </x:c>
    </x:row>
    <x:row r="193" ht="34" customHeight="1">
      <x:c r="A193" s="30" t="str">
        <x:v>FF-FAM-01</x:v>
      </x:c>
      <x:c r="B193" s="30" t="str">
        <x:v>Hearth</x:v>
      </x:c>
      <x:c r="C193" s="30" t="str">
        <x:v>Family &amp; Home</x:v>
      </x:c>
      <x:c r="D193" s="30" t="str">
        <x:v>Budget</x:v>
      </x:c>
      <x:c r="E193" s="30" t="str">
        <x:v>CPU / APU</x:v>
      </x:c>
      <x:c r="F193" s="30" t="str">
        <x:v>AMD Ryzen 5 5600G</x:v>
      </x:c>
      <x:c r="G193" s="31" t="n">
        <x:v>105</x:v>
      </x:c>
      <x:c r="H193" s="30" t="str">
        <x:v>Indicative UK procurement budget</x:v>
      </x:c>
      <x:c r="I193" s="30" t="str">
        <x:v>Keep the first family offering refreshingly simple and quiet.</x:v>
      </x:c>
    </x:row>
    <x:row r="194" ht="34" customHeight="1">
      <x:c r="A194" s="30" t="str">
        <x:v>FF-FAM-01</x:v>
      </x:c>
      <x:c r="B194" s="30" t="str">
        <x:v>Hearth</x:v>
      </x:c>
      <x:c r="C194" s="30" t="str">
        <x:v>Family &amp; Home</x:v>
      </x:c>
      <x:c r="D194" s="30" t="str">
        <x:v>Budget</x:v>
      </x:c>
      <x:c r="E194" s="30" t="str">
        <x:v>Motherboard</x:v>
      </x:c>
      <x:c r="F194" s="30" t="str">
        <x:v>MSI B550M PRO-VDH WIFI</x:v>
      </x:c>
      <x:c r="G194" s="31" t="n">
        <x:v>95</x:v>
      </x:c>
      <x:c r="H194" s="30" t="str">
        <x:v>Indicative UK procurement budget</x:v>
      </x:c>
      <x:c r="I194" s="30" t="str">
        <x:v>Keep the first family offering refreshingly simple and quiet.</x:v>
      </x:c>
    </x:row>
    <x:row r="195" ht="34" customHeight="1">
      <x:c r="A195" s="30" t="str">
        <x:v>FF-FAM-01</x:v>
      </x:c>
      <x:c r="B195" s="30" t="str">
        <x:v>Hearth</x:v>
      </x:c>
      <x:c r="C195" s="30" t="str">
        <x:v>Family &amp; Home</x:v>
      </x:c>
      <x:c r="D195" s="30" t="str">
        <x:v>Budget</x:v>
      </x:c>
      <x:c r="E195" s="30" t="str">
        <x:v>Memory</x:v>
      </x:c>
      <x:c r="F195" s="30" t="str">
        <x:v>32GB (2x16GB) DDR4-3200</x:v>
      </x:c>
      <x:c r="G195" s="31" t="n">
        <x:v>55</x:v>
      </x:c>
      <x:c r="H195" s="30" t="str">
        <x:v>Indicative UK procurement budget</x:v>
      </x:c>
      <x:c r="I195" s="30" t="str">
        <x:v>Keep the first family offering refreshingly simple and quiet.</x:v>
      </x:c>
    </x:row>
    <x:row r="196" ht="34" customHeight="1">
      <x:c r="A196" s="30" t="str">
        <x:v>FF-FAM-01</x:v>
      </x:c>
      <x:c r="B196" s="30" t="str">
        <x:v>Hearth</x:v>
      </x:c>
      <x:c r="C196" s="30" t="str">
        <x:v>Family &amp; Home</x:v>
      </x:c>
      <x:c r="D196" s="30" t="str">
        <x:v>Budget</x:v>
      </x:c>
      <x:c r="E196" s="30" t="str">
        <x:v>Graphics</x:v>
      </x:c>
      <x:c r="F196" s="30" t="str">
        <x:v>Radeon Vega integrated</x:v>
      </x:c>
      <x:c r="G196" s="31" t="n">
        <x:v>0</x:v>
      </x:c>
      <x:c r="H196" s="30" t="str">
        <x:v>Indicative UK procurement budget</x:v>
      </x:c>
      <x:c r="I196" s="30" t="str">
        <x:v>Keep the first family offering refreshingly simple and quiet.</x:v>
      </x:c>
    </x:row>
    <x:row r="197" ht="34" customHeight="1">
      <x:c r="A197" s="30" t="str">
        <x:v>FF-FAM-01</x:v>
      </x:c>
      <x:c r="B197" s="30" t="str">
        <x:v>Hearth</x:v>
      </x:c>
      <x:c r="C197" s="30" t="str">
        <x:v>Family &amp; Home</x:v>
      </x:c>
      <x:c r="D197" s="30" t="str">
        <x:v>Budget</x:v>
      </x:c>
      <x:c r="E197" s="30" t="str">
        <x:v>Primary storage</x:v>
      </x:c>
      <x:c r="F197" s="30" t="str">
        <x:v>1TB PCIe 4.0 NVMe SSD</x:v>
      </x:c>
      <x:c r="G197" s="31" t="n">
        <x:v>60</x:v>
      </x:c>
      <x:c r="H197" s="30" t="str">
        <x:v>Indicative UK procurement budget</x:v>
      </x:c>
      <x:c r="I197" s="30" t="str">
        <x:v>Keep the first family offering refreshingly simple and quiet.</x:v>
      </x:c>
    </x:row>
    <x:row r="198" ht="34" customHeight="1">
      <x:c r="A198" s="30" t="str">
        <x:v>FF-FAM-01</x:v>
      </x:c>
      <x:c r="B198" s="30" t="str">
        <x:v>Hearth</x:v>
      </x:c>
      <x:c r="C198" s="30" t="str">
        <x:v>Family &amp; Home</x:v>
      </x:c>
      <x:c r="D198" s="30" t="str">
        <x:v>Budget</x:v>
      </x:c>
      <x:c r="E198" s="30" t="str">
        <x:v>Case</x:v>
      </x:c>
      <x:c r="F198" s="30" t="str">
        <x:v>Fractal Design Core 1100</x:v>
      </x:c>
      <x:c r="G198" s="31" t="n">
        <x:v>45</x:v>
      </x:c>
      <x:c r="H198" s="30" t="str">
        <x:v>Indicative UK procurement budget</x:v>
      </x:c>
      <x:c r="I198" s="30" t="str">
        <x:v>Keep the first family offering refreshingly simple and quiet.</x:v>
      </x:c>
    </x:row>
    <x:row r="199" ht="34" customHeight="1">
      <x:c r="A199" s="30" t="str">
        <x:v>FF-FAM-01</x:v>
      </x:c>
      <x:c r="B199" s="30" t="str">
        <x:v>Hearth</x:v>
      </x:c>
      <x:c r="C199" s="30" t="str">
        <x:v>Family &amp; Home</x:v>
      </x:c>
      <x:c r="D199" s="30" t="str">
        <x:v>Budget</x:v>
      </x:c>
      <x:c r="E199" s="30" t="str">
        <x:v>Power supply</x:v>
      </x:c>
      <x:c r="F199" s="30" t="str">
        <x:v>Corsair CX550 550W 80+ Bronze</x:v>
      </x:c>
      <x:c r="G199" s="31" t="n">
        <x:v>55</x:v>
      </x:c>
      <x:c r="H199" s="30" t="str">
        <x:v>Indicative UK procurement budget</x:v>
      </x:c>
      <x:c r="I199" s="30" t="str">
        <x:v>Keep the first family offering refreshingly simple and quiet.</x:v>
      </x:c>
    </x:row>
    <x:row r="200" ht="34" customHeight="1">
      <x:c r="A200" s="30" t="str">
        <x:v>FF-FAM-01</x:v>
      </x:c>
      <x:c r="B200" s="30" t="str">
        <x:v>Hearth</x:v>
      </x:c>
      <x:c r="C200" s="30" t="str">
        <x:v>Family &amp; Home</x:v>
      </x:c>
      <x:c r="D200" s="30" t="str">
        <x:v>Budget</x:v>
      </x:c>
      <x:c r="E200" s="30" t="str">
        <x:v>CPU cooling</x:v>
      </x:c>
      <x:c r="F200" s="30" t="str">
        <x:v>AMD Wraith Stealth</x:v>
      </x:c>
      <x:c r="G200" s="31" t="n">
        <x:v>0</x:v>
      </x:c>
      <x:c r="H200" s="30" t="str">
        <x:v>Indicative UK procurement budget</x:v>
      </x:c>
      <x:c r="I200" s="30" t="str">
        <x:v>Keep the first family offering refreshingly simple and quiet.</x:v>
      </x:c>
    </x:row>
    <x:row r="201" ht="34" customHeight="1">
      <x:c r="A201" s="30" t="str">
        <x:v>FF-FAM-01</x:v>
      </x:c>
      <x:c r="B201" s="30" t="str">
        <x:v>Hearth</x:v>
      </x:c>
      <x:c r="C201" s="30" t="str">
        <x:v>Family &amp; Home</x:v>
      </x:c>
      <x:c r="D201" s="30" t="str">
        <x:v>Budget</x:v>
      </x:c>
      <x:c r="E201" s="30" t="str">
        <x:v>Operating system</x:v>
      </x:c>
      <x:c r="F201" s="30" t="str">
        <x:v>Windows 11 Home</x:v>
      </x:c>
      <x:c r="G201" s="31" t="n">
        <x:v>0</x:v>
      </x:c>
      <x:c r="H201" s="30" t="str">
        <x:v>Indicative UK procurement budget</x:v>
      </x:c>
      <x:c r="I201" s="30" t="str">
        <x:v>Keep the first family offering refreshingly simple and quiet.</x:v>
      </x:c>
    </x:row>
    <x:row r="202" ht="34" customHeight="1">
      <x:c r="A202" s="30" t="str">
        <x:v>FF-FAM-02</x:v>
      </x:c>
      <x:c r="B202" s="30" t="str">
        <x:v>Haven</x:v>
      </x:c>
      <x:c r="C202" s="30" t="str">
        <x:v>Family &amp; Home</x:v>
      </x:c>
      <x:c r="D202" s="30" t="str">
        <x:v>Mid-range</x:v>
      </x:c>
      <x:c r="E202" s="30" t="str">
        <x:v>CPU / APU</x:v>
      </x:c>
      <x:c r="F202" s="30" t="str">
        <x:v>AMD Ryzen 5 9600X</x:v>
      </x:c>
      <x:c r="G202" s="31" t="n">
        <x:v>205</x:v>
      </x:c>
      <x:c r="H202" s="30" t="str">
        <x:v>Indicative UK procurement budget</x:v>
      </x:c>
      <x:c r="I202" s="30" t="str">
        <x:v>A sensible all-rounder with enough graphics power to stop it feeling outdated.</x:v>
      </x:c>
    </x:row>
    <x:row r="203" ht="34" customHeight="1">
      <x:c r="A203" s="30" t="str">
        <x:v>FF-FAM-02</x:v>
      </x:c>
      <x:c r="B203" s="30" t="str">
        <x:v>Haven</x:v>
      </x:c>
      <x:c r="C203" s="30" t="str">
        <x:v>Family &amp; Home</x:v>
      </x:c>
      <x:c r="D203" s="30" t="str">
        <x:v>Mid-range</x:v>
      </x:c>
      <x:c r="E203" s="30" t="str">
        <x:v>Motherboard</x:v>
      </x:c>
      <x:c r="F203" s="30" t="str">
        <x:v>ASRock B850 Steel Legend WiFi</x:v>
      </x:c>
      <x:c r="G203" s="31" t="n">
        <x:v>190</x:v>
      </x:c>
      <x:c r="H203" s="30" t="str">
        <x:v>Indicative UK procurement budget</x:v>
      </x:c>
      <x:c r="I203" s="30" t="str">
        <x:v>A sensible all-rounder with enough graphics power to stop it feeling outdated.</x:v>
      </x:c>
    </x:row>
    <x:row r="204" ht="34" customHeight="1">
      <x:c r="A204" s="30" t="str">
        <x:v>FF-FAM-02</x:v>
      </x:c>
      <x:c r="B204" s="30" t="str">
        <x:v>Haven</x:v>
      </x:c>
      <x:c r="C204" s="30" t="str">
        <x:v>Family &amp; Home</x:v>
      </x:c>
      <x:c r="D204" s="30" t="str">
        <x:v>Mid-range</x:v>
      </x:c>
      <x:c r="E204" s="30" t="str">
        <x:v>Memory</x:v>
      </x:c>
      <x:c r="F204" s="30" t="str">
        <x:v>32GB (2x16GB) DDR5-6000 CL30</x:v>
      </x:c>
      <x:c r="G204" s="31" t="n">
        <x:v>115</x:v>
      </x:c>
      <x:c r="H204" s="30" t="str">
        <x:v>Indicative UK procurement budget</x:v>
      </x:c>
      <x:c r="I204" s="30" t="str">
        <x:v>A sensible all-rounder with enough graphics power to stop it feeling outdated.</x:v>
      </x:c>
    </x:row>
    <x:row r="205" ht="34" customHeight="1">
      <x:c r="A205" s="30" t="str">
        <x:v>FF-FAM-02</x:v>
      </x:c>
      <x:c r="B205" s="30" t="str">
        <x:v>Haven</x:v>
      </x:c>
      <x:c r="C205" s="30" t="str">
        <x:v>Family &amp; Home</x:v>
      </x:c>
      <x:c r="D205" s="30" t="str">
        <x:v>Mid-range</x:v>
      </x:c>
      <x:c r="E205" s="30" t="str">
        <x:v>Graphics</x:v>
      </x:c>
      <x:c r="F205" s="30" t="str">
        <x:v>AMD Radeon RX 9060 XT 16GB</x:v>
      </x:c>
      <x:c r="G205" s="31" t="n">
        <x:v>430</x:v>
      </x:c>
      <x:c r="H205" s="30" t="str">
        <x:v>Indicative UK procurement budget</x:v>
      </x:c>
      <x:c r="I205" s="30" t="str">
        <x:v>A sensible all-rounder with enough graphics power to stop it feeling outdated.</x:v>
      </x:c>
    </x:row>
    <x:row r="206" ht="34" customHeight="1">
      <x:c r="A206" s="30" t="str">
        <x:v>FF-FAM-02</x:v>
      </x:c>
      <x:c r="B206" s="30" t="str">
        <x:v>Haven</x:v>
      </x:c>
      <x:c r="C206" s="30" t="str">
        <x:v>Family &amp; Home</x:v>
      </x:c>
      <x:c r="D206" s="30" t="str">
        <x:v>Mid-range</x:v>
      </x:c>
      <x:c r="E206" s="30" t="str">
        <x:v>Primary storage</x:v>
      </x:c>
      <x:c r="F206" s="30" t="str">
        <x:v>2TB PCIe 4.0 NVMe SSD</x:v>
      </x:c>
      <x:c r="G206" s="31" t="n">
        <x:v>110</x:v>
      </x:c>
      <x:c r="H206" s="30" t="str">
        <x:v>Indicative UK procurement budget</x:v>
      </x:c>
      <x:c r="I206" s="30" t="str">
        <x:v>A sensible all-rounder with enough graphics power to stop it feeling outdated.</x:v>
      </x:c>
    </x:row>
    <x:row r="207" ht="34" customHeight="1">
      <x:c r="A207" s="30" t="str">
        <x:v>FF-FAM-02</x:v>
      </x:c>
      <x:c r="B207" s="30" t="str">
        <x:v>Haven</x:v>
      </x:c>
      <x:c r="C207" s="30" t="str">
        <x:v>Family &amp; Home</x:v>
      </x:c>
      <x:c r="D207" s="30" t="str">
        <x:v>Mid-range</x:v>
      </x:c>
      <x:c r="E207" s="30" t="str">
        <x:v>Case</x:v>
      </x:c>
      <x:c r="F207" s="30" t="str">
        <x:v>Montech AIR 100 ARGB</x:v>
      </x:c>
      <x:c r="G207" s="31" t="n">
        <x:v>65</x:v>
      </x:c>
      <x:c r="H207" s="30" t="str">
        <x:v>Indicative UK procurement budget</x:v>
      </x:c>
      <x:c r="I207" s="30" t="str">
        <x:v>A sensible all-rounder with enough graphics power to stop it feeling outdated.</x:v>
      </x:c>
    </x:row>
    <x:row r="208" ht="34" customHeight="1">
      <x:c r="A208" s="30" t="str">
        <x:v>FF-FAM-02</x:v>
      </x:c>
      <x:c r="B208" s="30" t="str">
        <x:v>Haven</x:v>
      </x:c>
      <x:c r="C208" s="30" t="str">
        <x:v>Family &amp; Home</x:v>
      </x:c>
      <x:c r="D208" s="30" t="str">
        <x:v>Mid-range</x:v>
      </x:c>
      <x:c r="E208" s="30" t="str">
        <x:v>Power supply</x:v>
      </x:c>
      <x:c r="F208" s="30" t="str">
        <x:v>Corsair RM650e 650W 80+ Gold</x:v>
      </x:c>
      <x:c r="G208" s="31" t="n">
        <x:v>85</x:v>
      </x:c>
      <x:c r="H208" s="30" t="str">
        <x:v>Indicative UK procurement budget</x:v>
      </x:c>
      <x:c r="I208" s="30" t="str">
        <x:v>A sensible all-rounder with enough graphics power to stop it feeling outdated.</x:v>
      </x:c>
    </x:row>
    <x:row r="209" ht="34" customHeight="1">
      <x:c r="A209" s="30" t="str">
        <x:v>FF-FAM-02</x:v>
      </x:c>
      <x:c r="B209" s="30" t="str">
        <x:v>Haven</x:v>
      </x:c>
      <x:c r="C209" s="30" t="str">
        <x:v>Family &amp; Home</x:v>
      </x:c>
      <x:c r="D209" s="30" t="str">
        <x:v>Mid-range</x:v>
      </x:c>
      <x:c r="E209" s="30" t="str">
        <x:v>CPU cooling</x:v>
      </x:c>
      <x:c r="F209" s="30" t="str">
        <x:v>Thermalright Assassin X 120 SE</x:v>
      </x:c>
      <x:c r="G209" s="31" t="n">
        <x:v>20</x:v>
      </x:c>
      <x:c r="H209" s="30" t="str">
        <x:v>Indicative UK procurement budget</x:v>
      </x:c>
      <x:c r="I209" s="30" t="str">
        <x:v>A sensible all-rounder with enough graphics power to stop it feeling outdated.</x:v>
      </x:c>
    </x:row>
    <x:row r="210" ht="34" customHeight="1">
      <x:c r="A210" s="30" t="str">
        <x:v>FF-FAM-02</x:v>
      </x:c>
      <x:c r="B210" s="30" t="str">
        <x:v>Haven</x:v>
      </x:c>
      <x:c r="C210" s="30" t="str">
        <x:v>Family &amp; Home</x:v>
      </x:c>
      <x:c r="D210" s="30" t="str">
        <x:v>Mid-range</x:v>
      </x:c>
      <x:c r="E210" s="30" t="str">
        <x:v>Operating system</x:v>
      </x:c>
      <x:c r="F210" s="30" t="str">
        <x:v>Windows 11 Home</x:v>
      </x:c>
      <x:c r="G210" s="31" t="n">
        <x:v>0</x:v>
      </x:c>
      <x:c r="H210" s="30" t="str">
        <x:v>Indicative UK procurement budget</x:v>
      </x:c>
      <x:c r="I210" s="30" t="str">
        <x:v>A sensible all-rounder with enough graphics power to stop it feeling outdated.</x:v>
      </x:c>
    </x:row>
    <x:row r="211" ht="34" customHeight="1">
      <x:c r="A211" s="30" t="str">
        <x:v>FF-FAM-03</x:v>
      </x:c>
      <x:c r="B211" s="30" t="str">
        <x:v>Horizon</x:v>
      </x:c>
      <x:c r="C211" s="30" t="str">
        <x:v>Family &amp; Home</x:v>
      </x:c>
      <x:c r="D211" s="30" t="str">
        <x:v>High-end</x:v>
      </x:c>
      <x:c r="E211" s="30" t="str">
        <x:v>CPU / APU</x:v>
      </x:c>
      <x:c r="F211" s="30" t="str">
        <x:v>AMD Ryzen 7 9700X</x:v>
      </x:c>
      <x:c r="G211" s="31" t="n">
        <x:v>280</x:v>
      </x:c>
      <x:c r="H211" s="30" t="str">
        <x:v>Indicative UK procurement budget</x:v>
      </x:c>
      <x:c r="I211" s="30" t="str">
        <x:v>Reuse the APNX visual language in a broadly accessible premium build.</x:v>
      </x:c>
    </x:row>
    <x:row r="212" ht="34" customHeight="1">
      <x:c r="A212" s="30" t="str">
        <x:v>FF-FAM-03</x:v>
      </x:c>
      <x:c r="B212" s="30" t="str">
        <x:v>Horizon</x:v>
      </x:c>
      <x:c r="C212" s="30" t="str">
        <x:v>Family &amp; Home</x:v>
      </x:c>
      <x:c r="D212" s="30" t="str">
        <x:v>High-end</x:v>
      </x:c>
      <x:c r="E212" s="30" t="str">
        <x:v>Motherboard</x:v>
      </x:c>
      <x:c r="F212" s="30" t="str">
        <x:v>ASUS TUF Gaming X870-PLUS WIFI</x:v>
      </x:c>
      <x:c r="G212" s="31" t="n">
        <x:v>240</x:v>
      </x:c>
      <x:c r="H212" s="30" t="str">
        <x:v>Indicative UK procurement budget</x:v>
      </x:c>
      <x:c r="I212" s="30" t="str">
        <x:v>Reuse the APNX visual language in a broadly accessible premium build.</x:v>
      </x:c>
    </x:row>
    <x:row r="213" ht="34" customHeight="1">
      <x:c r="A213" s="30" t="str">
        <x:v>FF-FAM-03</x:v>
      </x:c>
      <x:c r="B213" s="30" t="str">
        <x:v>Horizon</x:v>
      </x:c>
      <x:c r="C213" s="30" t="str">
        <x:v>Family &amp; Home</x:v>
      </x:c>
      <x:c r="D213" s="30" t="str">
        <x:v>High-end</x:v>
      </x:c>
      <x:c r="E213" s="30" t="str">
        <x:v>Memory</x:v>
      </x:c>
      <x:c r="F213" s="30" t="str">
        <x:v>64GB (2x32GB) DDR5-6000 CL30</x:v>
      </x:c>
      <x:c r="G213" s="31" t="n">
        <x:v>220</x:v>
      </x:c>
      <x:c r="H213" s="30" t="str">
        <x:v>Indicative UK procurement budget</x:v>
      </x:c>
      <x:c r="I213" s="30" t="str">
        <x:v>Reuse the APNX visual language in a broadly accessible premium build.</x:v>
      </x:c>
    </x:row>
    <x:row r="214" ht="34" customHeight="1">
      <x:c r="A214" s="30" t="str">
        <x:v>FF-FAM-03</x:v>
      </x:c>
      <x:c r="B214" s="30" t="str">
        <x:v>Horizon</x:v>
      </x:c>
      <x:c r="C214" s="30" t="str">
        <x:v>Family &amp; Home</x:v>
      </x:c>
      <x:c r="D214" s="30" t="str">
        <x:v>High-end</x:v>
      </x:c>
      <x:c r="E214" s="30" t="str">
        <x:v>Graphics</x:v>
      </x:c>
      <x:c r="F214" s="30" t="str">
        <x:v>AMD Radeon RX 9070 16GB</x:v>
      </x:c>
      <x:c r="G214" s="31" t="n">
        <x:v>600</x:v>
      </x:c>
      <x:c r="H214" s="30" t="str">
        <x:v>Indicative UK procurement budget</x:v>
      </x:c>
      <x:c r="I214" s="30" t="str">
        <x:v>Reuse the APNX visual language in a broadly accessible premium build.</x:v>
      </x:c>
    </x:row>
    <x:row r="215" ht="34" customHeight="1">
      <x:c r="A215" s="30" t="str">
        <x:v>FF-FAM-03</x:v>
      </x:c>
      <x:c r="B215" s="30" t="str">
        <x:v>Horizon</x:v>
      </x:c>
      <x:c r="C215" s="30" t="str">
        <x:v>Family &amp; Home</x:v>
      </x:c>
      <x:c r="D215" s="30" t="str">
        <x:v>High-end</x:v>
      </x:c>
      <x:c r="E215" s="30" t="str">
        <x:v>Primary storage</x:v>
      </x:c>
      <x:c r="F215" s="30" t="str">
        <x:v>4TB PCIe 4.0 NVMe SSD</x:v>
      </x:c>
      <x:c r="G215" s="31" t="n">
        <x:v>220</x:v>
      </x:c>
      <x:c r="H215" s="30" t="str">
        <x:v>Indicative UK procurement budget</x:v>
      </x:c>
      <x:c r="I215" s="30" t="str">
        <x:v>Reuse the APNX visual language in a broadly accessible premium build.</x:v>
      </x:c>
    </x:row>
    <x:row r="216" ht="34" customHeight="1">
      <x:c r="A216" s="30" t="str">
        <x:v>FF-FAM-03</x:v>
      </x:c>
      <x:c r="B216" s="30" t="str">
        <x:v>Horizon</x:v>
      </x:c>
      <x:c r="C216" s="30" t="str">
        <x:v>Family &amp; Home</x:v>
      </x:c>
      <x:c r="D216" s="30" t="str">
        <x:v>High-end</x:v>
      </x:c>
      <x:c r="E216" s="30" t="str">
        <x:v>Case</x:v>
      </x:c>
      <x:c r="F216" s="30" t="str">
        <x:v>APNX Creator C1 ChromaFlair</x:v>
      </x:c>
      <x:c r="G216" s="31" t="n">
        <x:v>150</x:v>
      </x:c>
      <x:c r="H216" s="30" t="str">
        <x:v>Indicative UK procurement budget</x:v>
      </x:c>
      <x:c r="I216" s="30" t="str">
        <x:v>Reuse the APNX visual language in a broadly accessible premium build.</x:v>
      </x:c>
    </x:row>
    <x:row r="217" ht="34" customHeight="1">
      <x:c r="A217" s="30" t="str">
        <x:v>FF-FAM-03</x:v>
      </x:c>
      <x:c r="B217" s="30" t="str">
        <x:v>Horizon</x:v>
      </x:c>
      <x:c r="C217" s="30" t="str">
        <x:v>Family &amp; Home</x:v>
      </x:c>
      <x:c r="D217" s="30" t="str">
        <x:v>High-end</x:v>
      </x:c>
      <x:c r="E217" s="30" t="str">
        <x:v>Power supply</x:v>
      </x:c>
      <x:c r="F217" s="30" t="str">
        <x:v>Corsair RM850e 850W 80+ Gold</x:v>
      </x:c>
      <x:c r="G217" s="31" t="n">
        <x:v>120</x:v>
      </x:c>
      <x:c r="H217" s="30" t="str">
        <x:v>Indicative UK procurement budget</x:v>
      </x:c>
      <x:c r="I217" s="30" t="str">
        <x:v>Reuse the APNX visual language in a broadly accessible premium build.</x:v>
      </x:c>
    </x:row>
    <x:row r="218" ht="34" customHeight="1">
      <x:c r="A218" s="30" t="str">
        <x:v>FF-FAM-03</x:v>
      </x:c>
      <x:c r="B218" s="30" t="str">
        <x:v>Horizon</x:v>
      </x:c>
      <x:c r="C218" s="30" t="str">
        <x:v>Family &amp; Home</x:v>
      </x:c>
      <x:c r="D218" s="30" t="str">
        <x:v>High-end</x:v>
      </x:c>
      <x:c r="E218" s="30" t="str">
        <x:v>CPU cooling</x:v>
      </x:c>
      <x:c r="F218" s="30" t="str">
        <x:v>Thermalright Aqua Elite 240 V3</x:v>
      </x:c>
      <x:c r="G218" s="31" t="n">
        <x:v>45</x:v>
      </x:c>
      <x:c r="H218" s="30" t="str">
        <x:v>Indicative UK procurement budget</x:v>
      </x:c>
      <x:c r="I218" s="30" t="str">
        <x:v>Reuse the APNX visual language in a broadly accessible premium build.</x:v>
      </x:c>
    </x:row>
    <x:row r="219" ht="34" customHeight="1">
      <x:c r="A219" s="32" t="str">
        <x:v>FF-FAM-03</x:v>
      </x:c>
      <x:c r="B219" s="32" t="str">
        <x:v>Horizon</x:v>
      </x:c>
      <x:c r="C219" s="32" t="str">
        <x:v>Family &amp; Home</x:v>
      </x:c>
      <x:c r="D219" s="32" t="str">
        <x:v>High-end</x:v>
      </x:c>
      <x:c r="E219" s="32" t="str">
        <x:v>Operating system</x:v>
      </x:c>
      <x:c r="F219" s="32" t="str">
        <x:v>Windows 11 Home</x:v>
      </x:c>
      <x:c r="G219" s="33" t="n">
        <x:v>0</x:v>
      </x:c>
      <x:c r="H219" s="32" t="str">
        <x:v>Indicative UK procurement budget</x:v>
      </x:c>
      <x:c r="I219" s="32" t="str">
        <x:v>Reuse the APNX visual language in a broadly accessible premium build.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3b7b95ebd6840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62" hidden="0" customWidth="1"/>
  </x:cols>
  <x:sheetData>
    <x:row r="1" ht="28" customHeight="1">
      <x:c r="A1" s="3" t="str">
        <x:v>flipflop | Pricing assumptions — edit before publishing</x:v>
      </x:c>
      <x:c r="B1" s="3"/>
      <x:c r="C1" s="3"/>
      <x:c r="D1" s="3"/>
    </x:row>
    <x:row r="3">
      <x:c r="A3" s="44" t="str">
        <x:v>Tier</x:v>
      </x:c>
      <x:c r="B3" s="44" t="str">
        <x:v>Target margin</x:v>
      </x:c>
      <x:c r="C3" s="44" t="str">
        <x:v>Launch / setup allowance</x:v>
      </x:c>
      <x:c r="D3" s="44" t="str">
        <x:v>Pricing intent</x:v>
      </x:c>
    </x:row>
    <x:row r="4">
      <x:c r="A4" s="15" t="str">
        <x:v>Budget</x:v>
      </x:c>
      <x:c r="B4" s="45" t="n">
        <x:v>0.22</x:v>
      </x:c>
      <x:c r="C4" s="46" t="n">
        <x:v>80</x:v>
      </x:c>
      <x:c r="D4" s="15" t="str">
        <x:v>Accessible price; protect quality with standardised parts.</x:v>
      </x:c>
    </x:row>
    <x:row r="5">
      <x:c r="A5" s="15" t="str">
        <x:v>Mid-range</x:v>
      </x:c>
      <x:c r="B5" s="45" t="n">
        <x:v>0.25</x:v>
      </x:c>
      <x:c r="C5" s="46" t="n">
        <x:v>110</x:v>
      </x:c>
      <x:c r="D5" s="15" t="str">
        <x:v>Core flipflop tier; cover prep, testing and presentation.</x:v>
      </x:c>
    </x:row>
    <x:row r="6">
      <x:c r="A6" s="16" t="str">
        <x:v>High-end</x:v>
      </x:c>
      <x:c r="B6" s="47" t="n">
        <x:v>0.28</x:v>
      </x:c>
      <x:c r="C6" s="48" t="n">
        <x:v>175</x:v>
      </x:c>
      <x:c r="D6" s="16" t="str">
        <x:v>Bespoke support, heavier QA and higher-risk inventory.</x:v>
      </x:c>
    </x:row>
    <x:row r="8">
      <x:c r="A8" s="52" t="str">
        <x:v>How to use: update the component cost in Components, then the website price in Build Catalogue recalculates automatically. These are planning prices only—check current UK availability, VAT treatment and final delivery/warranty cost before listing.</x:v>
      </x:c>
      <x:c r="B8" s="52"/>
      <x:c r="C8" s="52"/>
      <x:c r="D8" s="52"/>
    </x:row>
    <x:row r="9">
      <x:c r="A9" s="52"/>
      <x:c r="B9" s="52"/>
      <x:c r="C9" s="52"/>
      <x:c r="D9" s="52"/>
    </x:row>
    <x:row r="10">
      <x:c r="A10" s="52"/>
      <x:c r="B10" s="52"/>
      <x:c r="C10" s="52"/>
      <x:c r="D10" s="52"/>
    </x:row>
  </x:sheetData>
  <x:mergeCells>
    <x:mergeCell ref="A1:D1"/>
    <x:mergeCell ref="A8:D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55" hidden="0" customWidth="1"/>
    <x:col min="4" max="4" width="60" hidden="0" customWidth="1"/>
  </x:cols>
  <x:sheetData>
    <x:row r="1" ht="28" customHeight="1">
      <x:c r="A1" s="3" t="str">
        <x:v>flipflop | Sources, product caveats and curation logic</x:v>
      </x:c>
      <x:c r="B1" s="3"/>
      <x:c r="C1" s="3"/>
      <x:c r="D1" s="3"/>
    </x:row>
    <x:row r="3">
      <x:c r="A3" s="54" t="str">
        <x:v>Area</x:v>
      </x:c>
      <x:c r="B3" s="54" t="str">
        <x:v>Source / URL</x:v>
      </x:c>
      <x:c r="C3" s="54" t="str">
        <x:v>What it supports</x:v>
      </x:c>
      <x:c r="D3" s="54" t="str">
        <x:v>Catalogue implication</x:v>
      </x:c>
    </x:row>
    <x:row r="4" ht="50" customHeight="1">
      <x:c r="A4" s="30" t="str">
        <x:v>AMD Ryzen AI 7 350</x:v>
      </x:c>
      <x:c r="B4" s="30" t="str">
        <x:v>https://www.amd.com/en/products/processors/laptop/ryzen/ai-300-series/amd-ryzen-ai-7-350.html</x:v>
      </x:c>
      <x:c r="C4" s="30" t="str">
        <x:v>Ryzen AI 300 with Radeon 860M; compact/OEM-led platform.</x:v>
      </x:c>
      <x:c r="D4" s="30" t="str">
        <x:v>List as a mini-PC / compact system, not a standalone desktop CPU.</x:v>
      </x:c>
    </x:row>
    <x:row r="5" ht="50" customHeight="1">
      <x:c r="A5" s="30" t="str">
        <x:v>AMD Ryzen AI 5 340</x:v>
      </x:c>
      <x:c r="B5" s="30" t="str">
        <x:v>https://www.amd.com/en/products/processors/laptop/ryzen/ai-300-series/amd-ryzen-ai-5-340.html</x:v>
      </x:c>
      <x:c r="C5" s="30" t="str">
        <x:v>Ryzen AI 5 340 with Radeon 840M integrated graphics.</x:v>
      </x:c>
      <x:c r="D5" s="30" t="str">
        <x:v>Use for compact office/student hybrid, not a GPU-tower gaming PC.</x:v>
      </x:c>
    </x:row>
    <x:row r="6" ht="50" customHeight="1">
      <x:c r="A6" s="30" t="str">
        <x:v>ASUS Pro WS WRX90E-SAGE SE</x:v>
      </x:c>
      <x:c r="B6" s="30" t="str">
        <x:v>https://www.asus.com/motherboards-components/motherboards/workstation/pro-ws-wrx90e-sage-se/techspec/</x:v>
      </x:c>
      <x:c r="C6" s="30" t="str">
        <x:v>Seven PCIe 5.0 x16 slots and workstation positioning.</x:v>
      </x:c>
      <x:c r="D6" s="30" t="str">
        <x:v>Use only on the high-end AI workstation, where expansion is part of the value.</x:v>
      </x:c>
    </x:row>
    <x:row r="7" ht="50" customHeight="1">
      <x:c r="A7" s="30" t="str">
        <x:v>ASRock TRX50 WS</x:v>
      </x:c>
      <x:c r="B7" s="30" t="str">
        <x:v>https://www.asrock.com/mb/AMD/TRX50%20WS/index.asp</x:v>
      </x:c>
      <x:c r="C7" s="30" t="str">
        <x:v>Workstation platform with multiple PCIe x16 slots.</x:v>
      </x:c>
      <x:c r="D7" s="30" t="str">
        <x:v>A future multi-GPU option rather than a default one-GPU customer build.</x:v>
      </x:c>
    </x:row>
    <x:row r="8" ht="50" customHeight="1">
      <x:c r="A8" s="30" t="str">
        <x:v>ASRock AI PRO R9700 Creator</x:v>
      </x:c>
      <x:c r="B8" s="30" t="str">
        <x:v>https://computerorbit.com/products/32gb-asrock-ai-pro-r9700-creator-graphics-card</x:v>
      </x:c>
      <x:c r="C8" s="30" t="str">
        <x:v>32GB workstation GPU reference and UK availability example.</x:v>
      </x:c>
      <x:c r="D8" s="30" t="str">
        <x:v>Use for a differentiated high-VRAM AMD/ROCm AI tier with a CUDA caveat.</x:v>
      </x:c>
    </x:row>
    <x:row r="9" ht="50" customHeight="1">
      <x:c r="A9" s="30" t="str">
        <x:v>RTX 5060 Ti 16GB</x:v>
      </x:c>
      <x:c r="B9" s="30" t="str">
        <x:v>https://www.overclockers.co.uk/pc-components/graphics-cards/nvidia-graphics-cards/nvidia-geforce-rtx-5060-ti-16gb-graphics-cards</x:v>
      </x:c>
      <x:c r="C9" s="30" t="str">
        <x:v>16GB GDDR7 / Blackwell positioning.</x:v>
      </x:c>
      <x:c r="D9" s="30" t="str">
        <x:v>Localhost 16 uses it because 16GB VRAM is a practical local-LLM entry point.</x:v>
      </x:c>
    </x:row>
    <x:row r="10" ht="50" customHeight="1">
      <x:c r="A10" s="32" t="str">
        <x:v>Market volatility</x:v>
      </x:c>
      <x:c r="B10" s="32" t="str">
        <x:v>https://www.pcgamer.com/hardware/graphics-cards/graphics-card-price-watch-deals/</x:v>
      </x:c>
      <x:c r="C10" s="32" t="str">
        <x:v>Recent GPU-market pricing volatility.</x:v>
      </x:c>
      <x:c r="D10" s="32" t="str">
        <x:v>Reprice all GPU-led builds at the moment of public listing.</x:v>
      </x:c>
    </x:row>
  </x:sheetData>
  <x:mergeCells>
    <x:mergeCell ref="A1:D1"/>
  </x:mergeCells>
  <x:pageMargins left="0.7" right="0.7" top="0.75" bottom="0.75" header="0.3" footer="0.3"/>
</x:worksheet>
</file>